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LCD_Board_1.0.3\"/>
    </mc:Choice>
  </mc:AlternateContent>
  <xr:revisionPtr revIDLastSave="0" documentId="13_ncr:1_{7DDC15D5-0260-4446-B423-C50318CEB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" i="1" l="1"/>
  <c r="N10" i="1"/>
  <c r="N12" i="1" s="1"/>
  <c r="N13" i="1" s="1"/>
  <c r="B11" i="1" l="1"/>
  <c r="B10" i="1"/>
</calcChain>
</file>

<file path=xl/sharedStrings.xml><?xml version="1.0" encoding="utf-8"?>
<sst xmlns="http://schemas.openxmlformats.org/spreadsheetml/2006/main" count="41" uniqueCount="35">
  <si>
    <t>Component list</t>
  </si>
  <si>
    <t>Source Data From:</t>
  </si>
  <si>
    <t>Project:</t>
  </si>
  <si>
    <t>Variant:</t>
  </si>
  <si>
    <t>#</t>
  </si>
  <si>
    <t>None</t>
  </si>
  <si>
    <t>Designator</t>
  </si>
  <si>
    <t>P1</t>
  </si>
  <si>
    <t>P2</t>
  </si>
  <si>
    <t>Description</t>
  </si>
  <si>
    <t>Straight 2.54mm 6mm -40℃~+105℃ 2 3mm 8 2.54mm Black Brass 2x4P 2.54mm Plugin,P=2.54mm Pin Headers</t>
  </si>
  <si>
    <t>Footprint</t>
  </si>
  <si>
    <t>X6511WV-16H-C30D60</t>
  </si>
  <si>
    <t>B-2100S08P-B110</t>
  </si>
  <si>
    <t>Manufacturer</t>
  </si>
  <si>
    <t>XKB Connectivity</t>
  </si>
  <si>
    <t>Ckmtw(Shenzhen Cankemeng)</t>
  </si>
  <si>
    <t>Quantity</t>
  </si>
  <si>
    <t>Item Type</t>
  </si>
  <si>
    <t>Manufacturer Part Number</t>
  </si>
  <si>
    <t>Alternate Part Number</t>
  </si>
  <si>
    <t xml:space="preserve">Value </t>
  </si>
  <si>
    <t>MOQ (5 Boards)</t>
  </si>
  <si>
    <t>Unit Cost (5 Boards)</t>
  </si>
  <si>
    <t>Total Cost (5 Boards)</t>
  </si>
  <si>
    <t>Remarks</t>
  </si>
  <si>
    <t>Reviewer Remarks</t>
  </si>
  <si>
    <t xml:space="preserve">Total Component Cost </t>
  </si>
  <si>
    <t>Single Board Cost</t>
  </si>
  <si>
    <t>-</t>
  </si>
  <si>
    <t>Header</t>
  </si>
  <si>
    <t>Custom</t>
  </si>
  <si>
    <t>Gold 250V 3A Straight Square Pins 2.5mm 260℃ 6mm -40℃~+105℃ 1 16 3mm 2.54mm Black Brass 1x16P Straight,P=2.54mm Pin Headers ROHS</t>
  </si>
  <si>
    <t>Bill of Materials for Project [LCD_Board_1.0.3]</t>
  </si>
  <si>
    <t>[LCD_Board_1.0.3]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</si>
</sst>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2</xdr:row>
      <xdr:rowOff>10417</xdr:rowOff>
    </xdr:from>
    <xdr:to>
      <xdr:col>15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3"/>
  <sheetViews>
    <sheetView tabSelected="1" workbookViewId="0">
      <selection activeCell="A10" sqref="A1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2.85546875" customWidth="1"/>
    <col min="5" max="5" width="30.85546875" customWidth="1"/>
    <col min="6" max="6" width="22.28515625" bestFit="1" customWidth="1"/>
    <col min="7" max="7" width="27" customWidth="1"/>
    <col min="8" max="8" width="19.85546875" customWidth="1"/>
    <col min="9" max="9" width="21.5703125" bestFit="1" customWidth="1"/>
    <col min="10" max="10" width="6.5703125" bestFit="1" customWidth="1"/>
    <col min="11" max="11" width="8.7109375" bestFit="1" customWidth="1"/>
    <col min="12" max="12" width="15.140625" bestFit="1" customWidth="1"/>
    <col min="13" max="13" width="18.7109375" bestFit="1" customWidth="1"/>
    <col min="14" max="14" width="19.28515625" bestFit="1" customWidth="1"/>
    <col min="15" max="15" width="8.5703125" bestFit="1" customWidth="1"/>
    <col min="16" max="16" width="26.85546875" bestFit="1" customWidth="1"/>
    <col min="20" max="20" width="18.7109375" bestFit="1" customWidth="1"/>
  </cols>
  <sheetData>
    <row r="1" spans="1:22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66"/>
      <c r="K1" s="66"/>
      <c r="L1" s="66"/>
      <c r="M1" s="66"/>
      <c r="N1" s="66"/>
      <c r="O1" s="66"/>
      <c r="P1" s="67"/>
    </row>
    <row r="2" spans="1:22" ht="32.25" thickBot="1" x14ac:dyDescent="0.3">
      <c r="A2" s="1"/>
      <c r="B2" s="21"/>
      <c r="C2" s="39"/>
      <c r="D2" s="11" t="s">
        <v>0</v>
      </c>
      <c r="E2" s="11"/>
      <c r="F2" s="56" t="s">
        <v>33</v>
      </c>
      <c r="G2" s="12"/>
      <c r="H2" s="4"/>
      <c r="I2" s="12"/>
      <c r="J2" s="4"/>
      <c r="K2" s="4"/>
      <c r="L2" s="4"/>
      <c r="M2" s="4"/>
      <c r="N2" s="4"/>
      <c r="O2" s="4"/>
      <c r="P2" s="3"/>
    </row>
    <row r="3" spans="1:22" x14ac:dyDescent="0.25">
      <c r="A3" s="1"/>
      <c r="B3" s="22"/>
      <c r="C3" s="40"/>
      <c r="D3" s="13" t="s">
        <v>1</v>
      </c>
      <c r="E3" s="13"/>
      <c r="F3" s="57" t="s">
        <v>34</v>
      </c>
      <c r="G3" s="13"/>
      <c r="H3" s="5"/>
      <c r="I3" s="13"/>
      <c r="J3" s="5"/>
      <c r="K3" s="5"/>
      <c r="L3" s="5"/>
      <c r="M3" s="5"/>
      <c r="N3" s="5"/>
      <c r="O3" s="5"/>
      <c r="P3" s="68"/>
    </row>
    <row r="4" spans="1:22" x14ac:dyDescent="0.25">
      <c r="A4" s="1"/>
      <c r="B4" s="22"/>
      <c r="C4" s="40"/>
      <c r="D4" s="13" t="s">
        <v>2</v>
      </c>
      <c r="E4" s="13"/>
      <c r="F4" s="58" t="s">
        <v>34</v>
      </c>
      <c r="G4" s="14"/>
      <c r="H4" s="7"/>
      <c r="I4" s="14"/>
      <c r="J4" s="7"/>
      <c r="K4" s="6"/>
      <c r="L4" s="6"/>
      <c r="M4" s="6"/>
      <c r="N4" s="6"/>
      <c r="O4" s="6"/>
      <c r="P4" s="69"/>
    </row>
    <row r="5" spans="1:22" x14ac:dyDescent="0.25">
      <c r="A5" s="1"/>
      <c r="B5" s="22"/>
      <c r="C5" s="40"/>
      <c r="D5" s="13" t="s">
        <v>3</v>
      </c>
      <c r="E5" s="13"/>
      <c r="F5" s="59" t="s">
        <v>5</v>
      </c>
      <c r="G5" s="15"/>
      <c r="H5" s="6"/>
      <c r="I5" s="15"/>
      <c r="J5" s="6"/>
      <c r="K5" s="6"/>
      <c r="L5" s="6"/>
      <c r="M5" s="6"/>
      <c r="N5" s="6"/>
      <c r="O5" s="6"/>
      <c r="P5" s="69"/>
    </row>
    <row r="6" spans="1:22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9"/>
    </row>
    <row r="7" spans="1:22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69"/>
    </row>
    <row r="8" spans="1:22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69"/>
    </row>
    <row r="9" spans="1:22" ht="15.75" thickBot="1" x14ac:dyDescent="0.3">
      <c r="A9" s="1"/>
      <c r="B9" s="30" t="s">
        <v>4</v>
      </c>
      <c r="C9" s="30" t="s">
        <v>18</v>
      </c>
      <c r="D9" s="30" t="s">
        <v>6</v>
      </c>
      <c r="E9" s="31" t="s">
        <v>9</v>
      </c>
      <c r="F9" s="30" t="s">
        <v>11</v>
      </c>
      <c r="G9" s="31" t="s">
        <v>19</v>
      </c>
      <c r="H9" s="30" t="s">
        <v>14</v>
      </c>
      <c r="I9" s="30" t="s">
        <v>20</v>
      </c>
      <c r="J9" s="31" t="s">
        <v>21</v>
      </c>
      <c r="K9" s="30" t="s">
        <v>17</v>
      </c>
      <c r="L9" s="30" t="s">
        <v>22</v>
      </c>
      <c r="M9" s="30" t="s">
        <v>23</v>
      </c>
      <c r="N9" s="30" t="s">
        <v>24</v>
      </c>
      <c r="O9" s="32" t="s">
        <v>25</v>
      </c>
      <c r="P9" s="32" t="s">
        <v>26</v>
      </c>
    </row>
    <row r="10" spans="1:22" ht="48.75" thickBot="1" x14ac:dyDescent="0.3">
      <c r="A10" s="1"/>
      <c r="B10" s="38">
        <f>ROW(B10) - ROW($B$9)</f>
        <v>1</v>
      </c>
      <c r="C10" s="62" t="s">
        <v>30</v>
      </c>
      <c r="D10" s="46" t="s">
        <v>7</v>
      </c>
      <c r="E10" s="47" t="s">
        <v>32</v>
      </c>
      <c r="F10" s="46" t="s">
        <v>31</v>
      </c>
      <c r="G10" s="46" t="s">
        <v>12</v>
      </c>
      <c r="H10" s="46" t="s">
        <v>15</v>
      </c>
      <c r="I10" s="46" t="s">
        <v>29</v>
      </c>
      <c r="J10" s="46" t="s">
        <v>29</v>
      </c>
      <c r="K10" s="47">
        <v>1</v>
      </c>
      <c r="L10" s="46">
        <v>6</v>
      </c>
      <c r="M10" s="54">
        <v>0.38339999999999996</v>
      </c>
      <c r="N10" s="54">
        <f>M10*L10</f>
        <v>2.3003999999999998</v>
      </c>
      <c r="O10" s="48"/>
      <c r="P10" s="49"/>
      <c r="S10" s="64"/>
      <c r="V10" s="65"/>
    </row>
    <row r="11" spans="1:22" ht="36.75" thickBot="1" x14ac:dyDescent="0.3">
      <c r="A11" s="1"/>
      <c r="B11" s="38">
        <f t="shared" ref="B11" si="0">ROW(B11) - ROW($B$9)</f>
        <v>2</v>
      </c>
      <c r="C11" s="63" t="s">
        <v>30</v>
      </c>
      <c r="D11" s="50" t="s">
        <v>8</v>
      </c>
      <c r="E11" s="51" t="s">
        <v>10</v>
      </c>
      <c r="F11" s="50" t="s">
        <v>31</v>
      </c>
      <c r="G11" s="50" t="s">
        <v>13</v>
      </c>
      <c r="H11" s="50" t="s">
        <v>16</v>
      </c>
      <c r="I11" s="50" t="s">
        <v>29</v>
      </c>
      <c r="J11" s="50" t="s">
        <v>29</v>
      </c>
      <c r="K11" s="51">
        <v>1</v>
      </c>
      <c r="L11" s="50">
        <v>10</v>
      </c>
      <c r="M11" s="55">
        <v>0.1598</v>
      </c>
      <c r="N11" s="55">
        <f>M11*L11</f>
        <v>1.5979999999999999</v>
      </c>
      <c r="O11" s="52"/>
      <c r="P11" s="53"/>
      <c r="S11" s="64"/>
      <c r="V11" s="65"/>
    </row>
    <row r="12" spans="1:22" ht="19.5" thickBot="1" x14ac:dyDescent="0.3">
      <c r="A12" s="1"/>
      <c r="B12" s="33"/>
      <c r="C12" s="44"/>
      <c r="D12" s="34"/>
      <c r="E12" s="35"/>
      <c r="F12" s="36"/>
      <c r="G12" s="37"/>
      <c r="H12" s="36"/>
      <c r="I12" s="37"/>
      <c r="J12" s="37"/>
      <c r="K12" s="37"/>
      <c r="L12" s="74" t="s">
        <v>27</v>
      </c>
      <c r="M12" s="75"/>
      <c r="N12" s="60">
        <f>SUM(N10:N11)</f>
        <v>3.8983999999999996</v>
      </c>
      <c r="O12" s="70"/>
      <c r="P12" s="71"/>
    </row>
    <row r="13" spans="1:22" ht="19.5" thickBot="1" x14ac:dyDescent="0.3">
      <c r="A13" s="1"/>
      <c r="B13" s="25"/>
      <c r="C13" s="45"/>
      <c r="D13" s="9"/>
      <c r="E13" s="10"/>
      <c r="F13" s="10"/>
      <c r="G13" s="10"/>
      <c r="H13" s="10"/>
      <c r="I13" s="10"/>
      <c r="J13" s="10"/>
      <c r="K13" s="10"/>
      <c r="L13" s="74" t="s">
        <v>28</v>
      </c>
      <c r="M13" s="75"/>
      <c r="N13" s="61">
        <f>N12/5</f>
        <v>0.77967999999999993</v>
      </c>
      <c r="O13" s="72"/>
      <c r="P13" s="73"/>
    </row>
  </sheetData>
  <mergeCells count="5">
    <mergeCell ref="J1:P1"/>
    <mergeCell ref="P3:P8"/>
    <mergeCell ref="O12:P13"/>
    <mergeCell ref="L12:M12"/>
    <mergeCell ref="L13:M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2022-10-31T07:18:43Z</dcterms:modified>
</cp:coreProperties>
</file>