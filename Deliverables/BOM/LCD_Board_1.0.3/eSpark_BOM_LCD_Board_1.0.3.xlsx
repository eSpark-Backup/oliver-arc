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LCD_Board_1.0.3\"/>
    </mc:Choice>
  </mc:AlternateContent>
  <xr:revisionPtr revIDLastSave="0" documentId="13_ncr:1_{ED4D438C-1783-449C-804D-C2DEB4EA40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2" i="1" l="1"/>
  <c r="Q11" i="1"/>
  <c r="Q10" i="1"/>
  <c r="M11" i="1"/>
  <c r="M10" i="1"/>
  <c r="Q13" i="1"/>
  <c r="B11" i="1" l="1"/>
  <c r="B10" i="1"/>
</calcChain>
</file>

<file path=xl/sharedStrings.xml><?xml version="1.0" encoding="utf-8"?>
<sst xmlns="http://schemas.openxmlformats.org/spreadsheetml/2006/main" count="48" uniqueCount="41">
  <si>
    <t>Component list</t>
  </si>
  <si>
    <t>Source Data From:</t>
  </si>
  <si>
    <t>Project:</t>
  </si>
  <si>
    <t>Variant:</t>
  </si>
  <si>
    <t>#</t>
  </si>
  <si>
    <t>None</t>
  </si>
  <si>
    <t>Designator</t>
  </si>
  <si>
    <t>P1</t>
  </si>
  <si>
    <t>P2</t>
  </si>
  <si>
    <t>Description</t>
  </si>
  <si>
    <t>Straight 2.54mm 6mm -40℃~+105℃ 2 3mm 8 2.54mm Black Brass 2x4P 2.54mm Plugin,P=2.54mm Pin Headers</t>
  </si>
  <si>
    <t>Footprint</t>
  </si>
  <si>
    <t>X6511WV-16H-C30D60</t>
  </si>
  <si>
    <t>B-2100S08P-B110</t>
  </si>
  <si>
    <t>Manufacturer</t>
  </si>
  <si>
    <t>XKB Connectivity</t>
  </si>
  <si>
    <t>Ckmtw(Shenzhen Cankemeng)</t>
  </si>
  <si>
    <t>Quantity</t>
  </si>
  <si>
    <t>Item Type</t>
  </si>
  <si>
    <t>Manufacturer Part Number</t>
  </si>
  <si>
    <t>Alternate Part Number</t>
  </si>
  <si>
    <t>LCSC/Part Number</t>
  </si>
  <si>
    <t xml:space="preserve">Value 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</si>
  <si>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</si>
  <si>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</si>
  <si>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</si>
  <si>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</si>
  <si>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</si>
  <si>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</si>
  <si>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</si>
  <si>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 xml:space="preserve">Total Component Cost </t>
  </si>
  <si>
    <t>Single Board Cost</t>
  </si>
  <si>
    <t>-</t>
  </si>
  <si>
    <t>Header</t>
  </si>
  <si>
    <t>Custom</t>
  </si>
  <si>
    <t>Gold 250V 3A Straight Square Pins 2.5mm 260℃ 6mm -40℃~+105℃ 1 16 3mm 2.54mm Black Brass 1x16P Straight,P=2.54mm Pin Headers ROHS</t>
  </si>
  <si>
    <t>C725948</t>
  </si>
  <si>
    <t>LCSC</t>
  </si>
  <si>
    <t>C124386</t>
  </si>
  <si>
    <t>Bill of Materials for Project [LCD_Board_1.0.3.]</t>
  </si>
  <si>
    <t>[LCD_Board_1.0.3.]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</si>
</sst>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0" fillId="3" borderId="21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Pin-Headers_Ckmtw-Shenzhen-Cankemeng-B-2100S08P-B110_C124386.html" TargetMode="External"/><Relationship Id="rId1" Type="http://schemas.openxmlformats.org/officeDocument/2006/relationships/hyperlink" Target="https://www.lcsc.com/product-detail/Pin-Headers_XKB-Connectivity-X6511WV-16H-C30D60_C725948.html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3"/>
  <sheetViews>
    <sheetView tabSelected="1" workbookViewId="0">
      <selection activeCell="I19" sqref="I1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2.85546875" customWidth="1"/>
    <col min="5" max="5" width="30.85546875" customWidth="1"/>
    <col min="6" max="6" width="22.28515625" bestFit="1" customWidth="1"/>
    <col min="7" max="7" width="27" customWidth="1"/>
    <col min="8" max="8" width="19.85546875" customWidth="1"/>
    <col min="9" max="9" width="21.5703125" bestFit="1" customWidth="1"/>
    <col min="10" max="10" width="17.5703125" bestFit="1" customWidth="1"/>
    <col min="11" max="11" width="6.57031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9"/>
      <c r="D2" s="11" t="s">
        <v>0</v>
      </c>
      <c r="E2" s="11"/>
      <c r="F2" s="56" t="s">
        <v>39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7" t="s">
        <v>40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40"/>
      <c r="D4" s="13" t="s">
        <v>2</v>
      </c>
      <c r="E4" s="13"/>
      <c r="F4" s="58" t="s">
        <v>40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40"/>
      <c r="D5" s="13" t="s">
        <v>3</v>
      </c>
      <c r="E5" s="13"/>
      <c r="F5" s="59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18</v>
      </c>
      <c r="D9" s="30" t="s">
        <v>6</v>
      </c>
      <c r="E9" s="31" t="s">
        <v>9</v>
      </c>
      <c r="F9" s="30" t="s">
        <v>11</v>
      </c>
      <c r="G9" s="31" t="s">
        <v>19</v>
      </c>
      <c r="H9" s="30" t="s">
        <v>14</v>
      </c>
      <c r="I9" s="30" t="s">
        <v>20</v>
      </c>
      <c r="J9" s="30" t="s">
        <v>21</v>
      </c>
      <c r="K9" s="31" t="s">
        <v>22</v>
      </c>
      <c r="L9" s="30" t="s">
        <v>17</v>
      </c>
      <c r="M9" s="30" t="s">
        <v>23</v>
      </c>
      <c r="N9" s="30" t="s">
        <v>24</v>
      </c>
      <c r="O9" s="30" t="s">
        <v>25</v>
      </c>
      <c r="P9" s="30" t="s">
        <v>26</v>
      </c>
      <c r="Q9" s="30" t="s">
        <v>27</v>
      </c>
      <c r="R9" s="32" t="s">
        <v>28</v>
      </c>
      <c r="S9" s="32" t="s">
        <v>29</v>
      </c>
    </row>
    <row r="10" spans="1:19" ht="48.75" thickBot="1" x14ac:dyDescent="0.3">
      <c r="A10" s="1"/>
      <c r="B10" s="38">
        <f>ROW(B10) - ROW($B$9)</f>
        <v>1</v>
      </c>
      <c r="C10" s="73" t="s">
        <v>33</v>
      </c>
      <c r="D10" s="46" t="s">
        <v>7</v>
      </c>
      <c r="E10" s="47" t="s">
        <v>35</v>
      </c>
      <c r="F10" s="46" t="s">
        <v>34</v>
      </c>
      <c r="G10" s="46" t="s">
        <v>12</v>
      </c>
      <c r="H10" s="46" t="s">
        <v>15</v>
      </c>
      <c r="I10" s="46" t="s">
        <v>32</v>
      </c>
      <c r="J10" s="46" t="s">
        <v>36</v>
      </c>
      <c r="K10" s="46" t="s">
        <v>32</v>
      </c>
      <c r="L10" s="47">
        <v>1</v>
      </c>
      <c r="M10" s="46">
        <f>L10*5</f>
        <v>5</v>
      </c>
      <c r="N10" s="46">
        <v>6</v>
      </c>
      <c r="O10" s="75" t="s">
        <v>37</v>
      </c>
      <c r="P10" s="54">
        <v>0.28339999999999999</v>
      </c>
      <c r="Q10" s="54">
        <f>P10*N10</f>
        <v>1.7003999999999999</v>
      </c>
      <c r="R10" s="48"/>
      <c r="S10" s="49"/>
    </row>
    <row r="11" spans="1:19" ht="36.75" thickBot="1" x14ac:dyDescent="0.3">
      <c r="A11" s="1"/>
      <c r="B11" s="38">
        <f t="shared" ref="B11" si="0">ROW(B11) - ROW($B$9)</f>
        <v>2</v>
      </c>
      <c r="C11" s="74" t="s">
        <v>33</v>
      </c>
      <c r="D11" s="50" t="s">
        <v>8</v>
      </c>
      <c r="E11" s="51" t="s">
        <v>10</v>
      </c>
      <c r="F11" s="50" t="s">
        <v>34</v>
      </c>
      <c r="G11" s="50" t="s">
        <v>13</v>
      </c>
      <c r="H11" s="50" t="s">
        <v>16</v>
      </c>
      <c r="I11" s="50" t="s">
        <v>32</v>
      </c>
      <c r="J11" s="50" t="s">
        <v>38</v>
      </c>
      <c r="K11" s="50" t="s">
        <v>32</v>
      </c>
      <c r="L11" s="51">
        <v>1</v>
      </c>
      <c r="M11" s="72">
        <f>L11*5</f>
        <v>5</v>
      </c>
      <c r="N11" s="50">
        <v>10</v>
      </c>
      <c r="O11" s="76" t="s">
        <v>37</v>
      </c>
      <c r="P11" s="55">
        <v>5.9799999999999999E-2</v>
      </c>
      <c r="Q11" s="55">
        <f>P11*N11</f>
        <v>0.59799999999999998</v>
      </c>
      <c r="R11" s="52"/>
      <c r="S11" s="53"/>
    </row>
    <row r="12" spans="1:19" ht="19.5" thickBot="1" x14ac:dyDescent="0.3">
      <c r="A12" s="1"/>
      <c r="B12" s="33"/>
      <c r="C12" s="44"/>
      <c r="D12" s="34"/>
      <c r="E12" s="35"/>
      <c r="F12" s="36"/>
      <c r="G12" s="37"/>
      <c r="H12" s="36"/>
      <c r="I12" s="37"/>
      <c r="J12" s="36"/>
      <c r="K12" s="37"/>
      <c r="L12" s="37"/>
      <c r="M12" s="37"/>
      <c r="N12" s="68" t="s">
        <v>30</v>
      </c>
      <c r="O12" s="69"/>
      <c r="P12" s="69"/>
      <c r="Q12" s="70">
        <f>SUM(Q10:Q11)</f>
        <v>2.2984</v>
      </c>
      <c r="R12" s="64"/>
      <c r="S12" s="65"/>
    </row>
    <row r="13" spans="1:19" ht="19.5" thickBot="1" x14ac:dyDescent="0.3">
      <c r="A13" s="1"/>
      <c r="B13" s="25"/>
      <c r="C13" s="45"/>
      <c r="D13" s="9"/>
      <c r="E13" s="10"/>
      <c r="F13" s="10"/>
      <c r="G13" s="10"/>
      <c r="H13" s="10"/>
      <c r="I13" s="10"/>
      <c r="J13" s="10"/>
      <c r="K13" s="10"/>
      <c r="L13" s="10"/>
      <c r="M13" s="10"/>
      <c r="N13" s="68" t="s">
        <v>31</v>
      </c>
      <c r="O13" s="69"/>
      <c r="P13" s="69"/>
      <c r="Q13" s="71">
        <f>Q12/5</f>
        <v>0.45967999999999998</v>
      </c>
      <c r="R13" s="66"/>
      <c r="S13" s="67"/>
    </row>
  </sheetData>
  <mergeCells count="5">
    <mergeCell ref="K1:S1"/>
    <mergeCell ref="S3:S8"/>
    <mergeCell ref="R12:S13"/>
    <mergeCell ref="N12:P12"/>
    <mergeCell ref="N13:P13"/>
  </mergeCells>
  <hyperlinks>
    <hyperlink ref="O10" r:id="rId1" xr:uid="{4A76C53C-919C-4CE9-8564-04D01D283020}"/>
    <hyperlink ref="O11" r:id="rId2" xr:uid="{D4B0F6A4-7C0F-4889-B4EC-96609D2BD889}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2022-10-24T10:49:58Z</dcterms:modified>
</cp:coreProperties>
</file>