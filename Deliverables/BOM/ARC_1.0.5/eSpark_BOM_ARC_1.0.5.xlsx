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ARC_1.0.5\"/>
    </mc:Choice>
  </mc:AlternateContent>
  <xr:revisionPtr revIDLastSave="0" documentId="13_ncr:1_{D30E3B7D-6946-4119-B9D1-2788385128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10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85" i="1" l="1"/>
  <c r="Q86" i="1" s="1"/>
</calcChain>
</file>

<file path=xl/sharedStrings.xml><?xml version="1.0" encoding="utf-8"?>
<sst xmlns="http://schemas.openxmlformats.org/spreadsheetml/2006/main" count="854" uniqueCount="455">
  <si>
    <t>Component list</t>
  </si>
  <si>
    <t>Source Data From:</t>
  </si>
  <si>
    <t>Project:</t>
  </si>
  <si>
    <t>Variant:</t>
  </si>
  <si>
    <t>#</t>
  </si>
  <si>
    <t>None</t>
  </si>
  <si>
    <t>Designator</t>
  </si>
  <si>
    <t>C1, C39</t>
  </si>
  <si>
    <t>C2, C33, C34</t>
  </si>
  <si>
    <t>C3, C4, C7, C8, C13, C18, C20, C23, C24, C32, C36, C37, C38, C41, C42</t>
  </si>
  <si>
    <t>C5</t>
  </si>
  <si>
    <t>C6, C11, C16, C30</t>
  </si>
  <si>
    <t>C9, C10</t>
  </si>
  <si>
    <t>C12, C14, C15, C17, C26, C27, C28, C29, C31, C35</t>
  </si>
  <si>
    <t>C19, C22</t>
  </si>
  <si>
    <t>C21</t>
  </si>
  <si>
    <t>C25, C40</t>
  </si>
  <si>
    <t>C43, C44</t>
  </si>
  <si>
    <t>C46</t>
  </si>
  <si>
    <t>C48</t>
  </si>
  <si>
    <t>D1</t>
  </si>
  <si>
    <t>D2, D3, D11</t>
  </si>
  <si>
    <t>D4, D6, D7</t>
  </si>
  <si>
    <t>D5, D8, D12, D13</t>
  </si>
  <si>
    <t>D9</t>
  </si>
  <si>
    <t>D10</t>
  </si>
  <si>
    <t>D14</t>
  </si>
  <si>
    <t>J1</t>
  </si>
  <si>
    <t>J2</t>
  </si>
  <si>
    <t>J3</t>
  </si>
  <si>
    <t>J4</t>
  </si>
  <si>
    <t>L1</t>
  </si>
  <si>
    <t>L2</t>
  </si>
  <si>
    <t>L3</t>
  </si>
  <si>
    <t>LED1, LED2, LED3, LED4, LED5, LED6, LED7, LED8</t>
  </si>
  <si>
    <t>LED9</t>
  </si>
  <si>
    <t>LS1</t>
  </si>
  <si>
    <t>P2</t>
  </si>
  <si>
    <t>P3</t>
  </si>
  <si>
    <t>P5</t>
  </si>
  <si>
    <t>P6, P7</t>
  </si>
  <si>
    <t>Q5, Q10, Q11, Q12, Q13, Q14</t>
  </si>
  <si>
    <t>Q6, Q7, Q8, Q9</t>
  </si>
  <si>
    <t>Q15</t>
  </si>
  <si>
    <t>R1</t>
  </si>
  <si>
    <t>R2</t>
  </si>
  <si>
    <t>R3, R17</t>
  </si>
  <si>
    <t>R6, R7, R19, R28, R29, R30, R31</t>
  </si>
  <si>
    <t>R8</t>
  </si>
  <si>
    <t>R9</t>
  </si>
  <si>
    <t>R11</t>
  </si>
  <si>
    <t>R12, R24, R32, R43, R44, R45, R46, R47</t>
  </si>
  <si>
    <t>R13</t>
  </si>
  <si>
    <t>R14, R15, R34</t>
  </si>
  <si>
    <t>R16</t>
  </si>
  <si>
    <t>R18, R33, R36, R37</t>
  </si>
  <si>
    <t>R20</t>
  </si>
  <si>
    <t>R22</t>
  </si>
  <si>
    <t>R35</t>
  </si>
  <si>
    <t>R38, R39</t>
  </si>
  <si>
    <t>R48</t>
  </si>
  <si>
    <t>R49</t>
  </si>
  <si>
    <t>RV1</t>
  </si>
  <si>
    <t>SB1, SB2, SB3, SB4, SB5, SB6, SB7, SB8, SB9, SB10, SB11, SB12, SB13, SB14, SB15, SB16, SB17, SB18, SB19, SB20, SB21, SB22, SB23, SB24, SB25, SB26, SB27, SB28, SB29, SB30, SB31, SB32, SB33, SB34, SB35, SB36, SB37, SB38</t>
  </si>
  <si>
    <t>SW1, SW2</t>
  </si>
  <si>
    <t>U1</t>
  </si>
  <si>
    <t>U2</t>
  </si>
  <si>
    <t>U3, 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</si>
  <si>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</si>
  <si>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</si>
  <si>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</si>
  <si>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</si>
  <si>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</si>
  <si>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</si>
  <si>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</si>
  <si>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</si>
  <si>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</si>
  <si>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X1</t>
  </si>
  <si>
    <t>X2</t>
  </si>
  <si>
    <t>Description</t>
  </si>
  <si>
    <t>CAP ALUM 220UF 20% 50V SMD</t>
  </si>
  <si>
    <t>470uF ±20% 50V 12.5mm 13.5mm 1000hrs 105℃ -40℃~+105℃ SMD,12.5x13.5mm Aluminum Electrolytic Capacitors - SMD RoHS</t>
  </si>
  <si>
    <t>CAP CER 0.1UF 100V X7R 0603</t>
  </si>
  <si>
    <t>CAP TANT 100UF 20% 25V 2917</t>
  </si>
  <si>
    <t>CAP ALUM 10uF 25V SMD</t>
  </si>
  <si>
    <t>CAP CER 18pF 5% C0G 50V 0603 Paper T/R</t>
  </si>
  <si>
    <t>CAP CER 1UF 25V X5R 0603</t>
  </si>
  <si>
    <t>CAP CER 10UF 25V X5R 0603</t>
  </si>
  <si>
    <t>CAP CER 1nF 100V X7R 0603</t>
  </si>
  <si>
    <t>CAP CER 0.47uF 50V X7R 0603</t>
  </si>
  <si>
    <t>CAP CER 20PF 50V C0G/NPO 0603</t>
  </si>
  <si>
    <t>CAP CER 1.2PF 50V C0G/NPO 0603</t>
  </si>
  <si>
    <t>CAP CER 2.2UF 50V X5R 0603</t>
  </si>
  <si>
    <t>CAP CER 1.5PF 50V C0G/NPO 0603</t>
  </si>
  <si>
    <t>300μA@100V 100V Single 5A 850mV@5A SMB Schottky Barrier Diodes (SBD) ROHS</t>
  </si>
  <si>
    <t>40V 500mV@1A 1A SMA(DO-214AC) Schottky Barrier Diodes (SBD) ROHS</t>
  </si>
  <si>
    <t>43.5A 9.2V 6.4V 5V Bi-Directional SMA(DO-214AC) TVS ROHS</t>
  </si>
  <si>
    <t>100V -55℃~+150℃@(Tj) 400mW Single 1.25V@150mA 4ns 1μA@75V 200mA SOD-323 Switching Diode ROHS</t>
  </si>
  <si>
    <t>11.3A 53.3V 36.7V 33V Bi-Directional SMB(DO-214AA) TVS ROHS</t>
  </si>
  <si>
    <t>500nA@12.2V ±5% 8Ω Single 2W 16V SMA Zener Diodes ROHS</t>
  </si>
  <si>
    <t>DIODE GEN PURP 75V 150MA SOD323</t>
  </si>
  <si>
    <t>TERMINAL BLOCK, PLUGGABLE, 5.08,</t>
  </si>
  <si>
    <t>CONN U.FL RCPT STR 50 OHM SMD</t>
  </si>
  <si>
    <t>4 PIN 2.54mm 3A Female Headers</t>
  </si>
  <si>
    <t>FIXED IND 100UH 1A 400 MOHM SMD</t>
  </si>
  <si>
    <t>FIXED IND 39NH 530MA 456MOHM SMD</t>
  </si>
  <si>
    <t>600mA 33nH ±5% 220mΩ SMD,1.8x1.2x1.02mm Inductors (SMD) ROHS</t>
  </si>
  <si>
    <t>LED YELLOW CLEAR CHIP SMD</t>
  </si>
  <si>
    <t>LED BLUE CLEAR 2SMD</t>
  </si>
  <si>
    <t>NO 2700Hz 85dB @ 3V, 10cm 3V Φ9mm SMD,9x3.2mm Buzzers RoHS</t>
  </si>
  <si>
    <t>CONN HEADER VERT 6POS 2.54MM</t>
  </si>
  <si>
    <t>Straight 2.54mm 6mm -40℃~+105℃ 2 3mm 8 2.54mm Black Brass 2x4P 2.54mm Plugin,P=2.54mm Pin Headers</t>
  </si>
  <si>
    <t>CONN HEADER 6 POS 2.54</t>
  </si>
  <si>
    <t>Test Point ON</t>
  </si>
  <si>
    <t>TRANS NPN 160V 0.6A SOT23</t>
  </si>
  <si>
    <t>MOSFET N-CH 55V 110A D2PAK</t>
  </si>
  <si>
    <t>60V 80A 2.5W 7mΩ@10V,20A 3V@250μA N Channel SOP-8_150mil MOSFETs ROHS</t>
  </si>
  <si>
    <t>RES SMD 33 OHM 1% 1/10W 0603</t>
  </si>
  <si>
    <t>6.8kΩ 0603 Chip Resistor - Surface Mount ROHS</t>
  </si>
  <si>
    <t>RES SMD 3.3K OHM 0.1% 1/10W 0603</t>
  </si>
  <si>
    <t>RES SMD 4.7K OHM 5% 1/10W 0603</t>
  </si>
  <si>
    <t>RES SMD 10K OHM 5% 1/10W 0603</t>
  </si>
  <si>
    <t>RES SMD 100K OHM 5% 1/5W 0603</t>
  </si>
  <si>
    <t>RES SMD 1.2K OHM 1% 1/10W 0603</t>
  </si>
  <si>
    <t>RES SMD 1K OHM 1% 1/10W 0603</t>
  </si>
  <si>
    <t>RES SMD 68K OHM 0.1% 1/10W 0603</t>
  </si>
  <si>
    <t>RES  SMD 330R 100 mW 0603</t>
  </si>
  <si>
    <t>2.2kΩ SMD Variable Resistors/Potentiometers ROHS</t>
  </si>
  <si>
    <t>RES SMD 2.2K OHM 1% 1/10W 0603</t>
  </si>
  <si>
    <t>100mW Thin Film Resistor 100V 5.6kΩ 0603 Chip Resistor</t>
  </si>
  <si>
    <t>RES SMD 47OHM 0.1W 0603</t>
  </si>
  <si>
    <t>100mW Thin Film Resistor 75V ±0.25% ±50ppm/℃ 180Ω -55℃~+155℃ 0603 Chip Resistor - Surface Mount ROHS</t>
  </si>
  <si>
    <t>±1% 1/10W Thick Film Resistors 75V ±600ppm/℃ -55℃~+155℃ 0.33Ω 0603 Chip Resistor - Surface Mount ROHS</t>
  </si>
  <si>
    <t>RES SMD 470K OHM 5% 1/10W 0603</t>
  </si>
  <si>
    <t>RES SMD 0R, 1%, 0.1W, 0603</t>
  </si>
  <si>
    <t>RES 820K OHM 0.1% 1/10W 0603</t>
  </si>
  <si>
    <t>RES SMD 220 OHM 1% 1/10W 0603</t>
  </si>
  <si>
    <t>65V 5.9J 8500pF@1kHz 26V 20V 30V~36V 1kA Radial Leaded Varistors ROHS</t>
  </si>
  <si>
    <t>Solder Bridge ON</t>
  </si>
  <si>
    <t>3mm 2mm Round Button 50mA Top3.65mm SPST 12V SMD Tactile Switches</t>
  </si>
  <si>
    <t>IC REG LINEAR 5V 500MA DPAK</t>
  </si>
  <si>
    <t>IC MCU 8BIT 16KB FLASH 32TQFP</t>
  </si>
  <si>
    <t>IC DRIVER HIGH/LOW SIDE 8SOIC</t>
  </si>
  <si>
    <t>IC REG BUCK BOOST INV ADJ 8SOIC</t>
  </si>
  <si>
    <t>SENSOR CURRENT HALL 20A AC/DC</t>
  </si>
  <si>
    <t>REVERSE POLARITY PROTECTION CONT</t>
  </si>
  <si>
    <t>IC REG LINEAR 3.3V 150MA 6WSON</t>
  </si>
  <si>
    <t>RF RX ASK/OOK 300-450MHZ 16QSOP</t>
  </si>
  <si>
    <t>RF Modules ROHS</t>
  </si>
  <si>
    <t>433Mhz SI4463 HC-12 Wireless Serial Port Module</t>
  </si>
  <si>
    <t>SOP-20_300mil Interface - Specialized ROHS</t>
  </si>
  <si>
    <t>Remote Control Decoder, SMD, SOP20</t>
  </si>
  <si>
    <t>12MHz SMD Crystal Resonator 12pF ±10ppm ±30ppm -40℃~+85℃ SMD3225-4P Crystals ROHS</t>
  </si>
  <si>
    <t>13.52313MHz In-line passive crystal oscillator 20pF 60Ω ±20ppm ±30ppm -40℃~+85℃ HC-49S-2P Crystals ROHS</t>
  </si>
  <si>
    <t>Footprint</t>
  </si>
  <si>
    <t>UCD1H221MNL1GS</t>
  </si>
  <si>
    <t>VT1H471MI135000CE0</t>
  </si>
  <si>
    <t>Cap0603</t>
  </si>
  <si>
    <t>CAP- 2917</t>
  </si>
  <si>
    <t>Cap-0603</t>
  </si>
  <si>
    <t>SMB</t>
  </si>
  <si>
    <t>SMA</t>
  </si>
  <si>
    <t>SOD-323</t>
  </si>
  <si>
    <t>SMBJ33CA</t>
  </si>
  <si>
    <t>TBP01R1-508-04BE</t>
  </si>
  <si>
    <t>TBP01R1-508-02BE</t>
  </si>
  <si>
    <t>DW254W-11-04-85</t>
  </si>
  <si>
    <t>SRN8040-101M</t>
  </si>
  <si>
    <t>IND 0402</t>
  </si>
  <si>
    <t>IND 0603</t>
  </si>
  <si>
    <t>LED-0402</t>
  </si>
  <si>
    <t>YS-SBZ9032C03R16</t>
  </si>
  <si>
    <t>HDR2X3</t>
  </si>
  <si>
    <t>B-2100S08P-B110</t>
  </si>
  <si>
    <t>HDR1X6</t>
  </si>
  <si>
    <t>TEST POINT</t>
  </si>
  <si>
    <t>SOT23-3</t>
  </si>
  <si>
    <t>D2PAK</t>
  </si>
  <si>
    <t>RU6085H</t>
  </si>
  <si>
    <t>Res0603</t>
  </si>
  <si>
    <t>Res-0603</t>
  </si>
  <si>
    <t>VG039NCHXTB222</t>
  </si>
  <si>
    <t>14D330K</t>
  </si>
  <si>
    <t>Solder Bridge</t>
  </si>
  <si>
    <t>TS-1185EC-C-D-B</t>
  </si>
  <si>
    <t>DPAK</t>
  </si>
  <si>
    <t>32-TQFP</t>
  </si>
  <si>
    <t>SOIC-8</t>
  </si>
  <si>
    <t>TSOT-23-8</t>
  </si>
  <si>
    <t>WSON-6</t>
  </si>
  <si>
    <t>16-QSOP</t>
  </si>
  <si>
    <t>SRX882-433MHZ</t>
  </si>
  <si>
    <t>SOP-20 (300 Mil)</t>
  </si>
  <si>
    <t>X322512MOB4SI</t>
  </si>
  <si>
    <t>Manufacturer Part Number</t>
  </si>
  <si>
    <t>CC0603KRX7R0BB104</t>
  </si>
  <si>
    <t>TAJE107M025RNJ</t>
  </si>
  <si>
    <t>CC0603JRNPO9BN180</t>
  </si>
  <si>
    <t>CL10A105KA8NNNC</t>
  </si>
  <si>
    <t>CL10A106MA8NRNC</t>
  </si>
  <si>
    <t>CL10B102KC8NNNC</t>
  </si>
  <si>
    <t>UMK107B7474KA-TR</t>
  </si>
  <si>
    <t>CC0603JRNPO9BN200</t>
  </si>
  <si>
    <t>CC0603CRNPO9BN1R2</t>
  </si>
  <si>
    <t>UMK107BBJ225MA-T</t>
  </si>
  <si>
    <t>CC0603CRNPO9BN1R5</t>
  </si>
  <si>
    <t>GRM188R6YA225KA12D</t>
  </si>
  <si>
    <t>SS510</t>
  </si>
  <si>
    <t>SS14-E3/61T</t>
  </si>
  <si>
    <t>SMAJ5.0CA</t>
  </si>
  <si>
    <t>1N4148WS</t>
  </si>
  <si>
    <t>SZ4516</t>
  </si>
  <si>
    <t>1N4148WS-7-F</t>
  </si>
  <si>
    <t>U.FL-R-SMT-1(80)</t>
  </si>
  <si>
    <t>LQW15AN39NG80D</t>
  </si>
  <si>
    <t>HSC0603-33NJ-T</t>
  </si>
  <si>
    <t>XZMYK68W-2</t>
  </si>
  <si>
    <t>XZCBD68W-2</t>
  </si>
  <si>
    <t>M20-9980346</t>
  </si>
  <si>
    <t>MMBT5551LT1G</t>
  </si>
  <si>
    <t>IRF3205STRLPBF</t>
  </si>
  <si>
    <t>RC0603FR-0733RL</t>
  </si>
  <si>
    <t>TC0325B6801T5F</t>
  </si>
  <si>
    <t>RT0603BRD073K3L</t>
  </si>
  <si>
    <t>AT0603BRD074K7L</t>
  </si>
  <si>
    <t>RC0603JR-074K7L</t>
  </si>
  <si>
    <t>AC0603JR-0710KL</t>
  </si>
  <si>
    <t>CRGH0603J100K</t>
  </si>
  <si>
    <t>RC0603FR-071K2L</t>
  </si>
  <si>
    <t>RC0603FR-071KL</t>
  </si>
  <si>
    <t>RT0603BRD0768KL</t>
  </si>
  <si>
    <t>RC0603JR-07330RL</t>
  </si>
  <si>
    <t>RC0603FR-072K2L</t>
  </si>
  <si>
    <t>PTFR0603B5K60P9</t>
  </si>
  <si>
    <t>RC0603FR-0747RL</t>
  </si>
  <si>
    <t>RT0603CRE07180RL</t>
  </si>
  <si>
    <t>RC0603JR-071KL</t>
  </si>
  <si>
    <t>AC0603JR-07470KL</t>
  </si>
  <si>
    <t>RC0603FR-070RL</t>
  </si>
  <si>
    <t>RT0603BRD07820KL</t>
  </si>
  <si>
    <t>RC0603FR-07220RL</t>
  </si>
  <si>
    <t>MC78M05ACDTRKG</t>
  </si>
  <si>
    <t>ATMEGA168A-AU</t>
  </si>
  <si>
    <t>IR2104STRPBF</t>
  </si>
  <si>
    <t>MC34063ADR2G</t>
  </si>
  <si>
    <t>ACS712ELCTR-20A-T</t>
  </si>
  <si>
    <t>LM74500QDDFRQ1</t>
  </si>
  <si>
    <t>LP5900SD-3.3/NOPB</t>
  </si>
  <si>
    <t>MICRF220AYQS</t>
  </si>
  <si>
    <t>HC-12</t>
  </si>
  <si>
    <t>PT2272-L4S</t>
  </si>
  <si>
    <t>HT12D-20SOPLF</t>
  </si>
  <si>
    <t>S1C13523ZWFAC</t>
  </si>
  <si>
    <t>Manufacturer</t>
  </si>
  <si>
    <t>Nichicon</t>
  </si>
  <si>
    <t>Changzhou Huawei Elec</t>
  </si>
  <si>
    <t>Yageo</t>
  </si>
  <si>
    <t>Kyocera AVX</t>
  </si>
  <si>
    <t>ROQANG</t>
  </si>
  <si>
    <t>Sams</t>
  </si>
  <si>
    <t>Samsung</t>
  </si>
  <si>
    <t>Taiyo Yuden</t>
  </si>
  <si>
    <t>Murata</t>
  </si>
  <si>
    <t>YFW</t>
  </si>
  <si>
    <t>Vishay Semiconductors</t>
  </si>
  <si>
    <t>Bourns</t>
  </si>
  <si>
    <t>Brightking Elec (TAIWAN)</t>
  </si>
  <si>
    <t>LGE</t>
  </si>
  <si>
    <t>Diodes</t>
  </si>
  <si>
    <t>CUI Devices</t>
  </si>
  <si>
    <t>Hirose</t>
  </si>
  <si>
    <t>DEALON</t>
  </si>
  <si>
    <t>EMTEK</t>
  </si>
  <si>
    <t>SunLED</t>
  </si>
  <si>
    <t>Fengming</t>
  </si>
  <si>
    <t>Harwin</t>
  </si>
  <si>
    <t>Ckmtw(Shenzhen Cankemeng)</t>
  </si>
  <si>
    <t>Wurth Electronics</t>
  </si>
  <si>
    <t>ON Semiconductor</t>
  </si>
  <si>
    <t>Infineon</t>
  </si>
  <si>
    <t>Shenzhen</t>
  </si>
  <si>
    <t>UNI-ROYAL</t>
  </si>
  <si>
    <t>TE Connectivity</t>
  </si>
  <si>
    <t>HDK</t>
  </si>
  <si>
    <t>Yageo Phycomp</t>
  </si>
  <si>
    <t>Resistor</t>
  </si>
  <si>
    <t>YAGEO</t>
  </si>
  <si>
    <t>RALEC</t>
  </si>
  <si>
    <t>Hongzhi Elec</t>
  </si>
  <si>
    <t>XKB</t>
  </si>
  <si>
    <t>Microchip / Atmel</t>
  </si>
  <si>
    <t>Allegro MicroSystems</t>
  </si>
  <si>
    <t>Texas Instruments</t>
  </si>
  <si>
    <t>TI National Semiconductor</t>
  </si>
  <si>
    <t>Microchip</t>
  </si>
  <si>
    <t>G-NiceRF</t>
  </si>
  <si>
    <t>PTC</t>
  </si>
  <si>
    <t>Holtek</t>
  </si>
  <si>
    <t>Yangxing Tech</t>
  </si>
  <si>
    <t>JYJE</t>
  </si>
  <si>
    <t>220uF</t>
  </si>
  <si>
    <t>470uF</t>
  </si>
  <si>
    <t>0.1uF</t>
  </si>
  <si>
    <t>100uF</t>
  </si>
  <si>
    <t>10uF</t>
  </si>
  <si>
    <t>18pF</t>
  </si>
  <si>
    <t>1uF</t>
  </si>
  <si>
    <t>1nF</t>
  </si>
  <si>
    <t>0.47uF</t>
  </si>
  <si>
    <t>20pF</t>
  </si>
  <si>
    <t>1.2pF</t>
  </si>
  <si>
    <t>2.2uF</t>
  </si>
  <si>
    <t>1.5pF</t>
  </si>
  <si>
    <t>100uH</t>
  </si>
  <si>
    <t>39nH</t>
  </si>
  <si>
    <t>33nH</t>
  </si>
  <si>
    <t>Yellow</t>
  </si>
  <si>
    <t>Blue</t>
  </si>
  <si>
    <t>Test Point</t>
  </si>
  <si>
    <t>33R</t>
  </si>
  <si>
    <t>6.8K</t>
  </si>
  <si>
    <t>3.3K</t>
  </si>
  <si>
    <t>4.7K</t>
  </si>
  <si>
    <t>10K</t>
  </si>
  <si>
    <t>100K</t>
  </si>
  <si>
    <t>1.2K</t>
  </si>
  <si>
    <t>1K</t>
  </si>
  <si>
    <t>68K</t>
  </si>
  <si>
    <t>330R</t>
  </si>
  <si>
    <t>2.2K</t>
  </si>
  <si>
    <t>5.6K</t>
  </si>
  <si>
    <t>47R</t>
  </si>
  <si>
    <t>180R</t>
  </si>
  <si>
    <t>0.33R</t>
  </si>
  <si>
    <t>470K</t>
  </si>
  <si>
    <t>0R</t>
  </si>
  <si>
    <t>820K</t>
  </si>
  <si>
    <t>220R</t>
  </si>
  <si>
    <t>12MHz</t>
  </si>
  <si>
    <t>13.52313MHz</t>
  </si>
  <si>
    <t>Quantity</t>
  </si>
  <si>
    <t>Item Type</t>
  </si>
  <si>
    <t>Capacitor</t>
  </si>
  <si>
    <t>Diode</t>
  </si>
  <si>
    <t>Terminal Block</t>
  </si>
  <si>
    <t>Connector</t>
  </si>
  <si>
    <t>Header</t>
  </si>
  <si>
    <t>Inductor</t>
  </si>
  <si>
    <t>LED</t>
  </si>
  <si>
    <t>BUZZER</t>
  </si>
  <si>
    <t xml:space="preserve">Header </t>
  </si>
  <si>
    <t>Mosfet</t>
  </si>
  <si>
    <t>Switch</t>
  </si>
  <si>
    <t>IC</t>
  </si>
  <si>
    <t>Crystal</t>
  </si>
  <si>
    <t>Custom</t>
  </si>
  <si>
    <t>-</t>
  </si>
  <si>
    <t>SOP-8</t>
  </si>
  <si>
    <t>Alternate Part Number</t>
  </si>
  <si>
    <t>LCSC/Part Number</t>
  </si>
  <si>
    <t xml:space="preserve">Value 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</si>
  <si>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</si>
  <si>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</si>
  <si>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</si>
  <si>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</si>
  <si>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</si>
  <si>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</si>
  <si>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</si>
  <si>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C116211</t>
  </si>
  <si>
    <t>LCSC</t>
  </si>
  <si>
    <t>C191227</t>
  </si>
  <si>
    <t>C113803</t>
  </si>
  <si>
    <t>C7230</t>
  </si>
  <si>
    <t>C81985</t>
  </si>
  <si>
    <t>RVT1E100M0405</t>
  </si>
  <si>
    <t>C107040</t>
  </si>
  <si>
    <t>C5673</t>
  </si>
  <si>
    <t>C96446</t>
  </si>
  <si>
    <t>C153291</t>
  </si>
  <si>
    <t>C92847</t>
  </si>
  <si>
    <t>C105621</t>
  </si>
  <si>
    <t>C281768</t>
  </si>
  <si>
    <t>C163551</t>
  </si>
  <si>
    <t>C47460</t>
  </si>
  <si>
    <t>C60580</t>
  </si>
  <si>
    <t>C88374</t>
  </si>
  <si>
    <t>C2935994</t>
  </si>
  <si>
    <t>C780190</t>
  </si>
  <si>
    <t>C269823</t>
  </si>
  <si>
    <t>C251779</t>
  </si>
  <si>
    <t>C409828</t>
  </si>
  <si>
    <t>C124386</t>
  </si>
  <si>
    <t>C41095</t>
  </si>
  <si>
    <t>C2613</t>
  </si>
  <si>
    <t>C181990</t>
  </si>
  <si>
    <t>C108661</t>
  </si>
  <si>
    <t>C2982989</t>
  </si>
  <si>
    <t>C309653</t>
  </si>
  <si>
    <t>C105428</t>
  </si>
  <si>
    <t>C140867</t>
  </si>
  <si>
    <t>C114605</t>
  </si>
  <si>
    <t>C22548</t>
  </si>
  <si>
    <t>C705793</t>
  </si>
  <si>
    <t>C105879</t>
  </si>
  <si>
    <t>C145162</t>
  </si>
  <si>
    <t>C114662</t>
  </si>
  <si>
    <t>C351638</t>
  </si>
  <si>
    <t>C114623</t>
  </si>
  <si>
    <t>C705909</t>
  </si>
  <si>
    <t>RTT03R330FTP</t>
  </si>
  <si>
    <t>C103893</t>
  </si>
  <si>
    <t>C144601</t>
  </si>
  <si>
    <t>C861571</t>
  </si>
  <si>
    <t>C100044</t>
  </si>
  <si>
    <t>C107696</t>
  </si>
  <si>
    <t>C137829</t>
  </si>
  <si>
    <t>C318893</t>
  </si>
  <si>
    <t>C232660</t>
  </si>
  <si>
    <t>C2960</t>
  </si>
  <si>
    <t>C10681</t>
  </si>
  <si>
    <t>C32078</t>
  </si>
  <si>
    <t>C131975</t>
  </si>
  <si>
    <t>C219772</t>
  </si>
  <si>
    <t>C3001518</t>
  </si>
  <si>
    <t>C80963</t>
  </si>
  <si>
    <t>C70565</t>
  </si>
  <si>
    <t>C2681243</t>
  </si>
  <si>
    <t>UMK107BBJ225KA-T</t>
  </si>
  <si>
    <t>C268016</t>
  </si>
  <si>
    <t>C2898359</t>
  </si>
  <si>
    <t>C116601</t>
  </si>
  <si>
    <t>C1884546</t>
  </si>
  <si>
    <t>C693501</t>
  </si>
  <si>
    <t>C2903793</t>
  </si>
  <si>
    <t>KF2EDGRC-5.08-4P</t>
  </si>
  <si>
    <t>C441238</t>
  </si>
  <si>
    <t>KF2EDGRC-5.08-2P</t>
  </si>
  <si>
    <t>C441236</t>
  </si>
  <si>
    <t>NCD0402B1</t>
  </si>
  <si>
    <t>C130724</t>
  </si>
  <si>
    <t>C434450</t>
  </si>
  <si>
    <t>SZYY0402Y</t>
  </si>
  <si>
    <t>PZ254V-12-6P</t>
  </si>
  <si>
    <t>C492420</t>
  </si>
  <si>
    <t>PZ254V-11-06P</t>
  </si>
  <si>
    <t>C492405</t>
  </si>
  <si>
    <t>C47, C49</t>
  </si>
  <si>
    <t>R5, R4, R23, R25, R26, R27, R40, R41, R42</t>
  </si>
  <si>
    <t>R10, R21</t>
  </si>
  <si>
    <t xml:space="preserve">Total Component Cost </t>
  </si>
  <si>
    <t>Single Board Cost</t>
  </si>
  <si>
    <t>Bill of Materials for Project [ARC_1.0.5]</t>
  </si>
  <si>
    <t>[ARC_1.0.5]</t>
  </si>
  <si>
    <t>LULU Quote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</si>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</sst>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/>
    <xf numFmtId="0" fontId="11" fillId="5" borderId="15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Chip-Resistor-Surface-Mount_YAGEO-RC0603FR-0733RL_C108661.html" TargetMode="External"/><Relationship Id="rId21" Type="http://schemas.openxmlformats.org/officeDocument/2006/relationships/hyperlink" Target="https://lcsc.com/product-detail/Buzzers_Fengming-YS-SBZ9032C03R16_C409828.html" TargetMode="External"/><Relationship Id="rId42" Type="http://schemas.openxmlformats.org/officeDocument/2006/relationships/hyperlink" Target="https://lcsc.com/product-detail/Chip-Resistor-Surface-Mount_YAGEO-RC0603FR-070RL_C100044.html" TargetMode="External"/><Relationship Id="rId47" Type="http://schemas.openxmlformats.org/officeDocument/2006/relationships/hyperlink" Target="https://lcsc.com/product-detail/Linear-Voltage-Regulators-LDO_onsemi-MC78M05ACDTRKG_C232660.html" TargetMode="External"/><Relationship Id="rId63" Type="http://schemas.openxmlformats.org/officeDocument/2006/relationships/hyperlink" Target="https://www.lcsc.com/product-detail/Pluggable-System-Terminal-Block_Cixi-Kefa-Elec-KF2EDGRC-5-08-4P_C441238.html" TargetMode="External"/><Relationship Id="rId68" Type="http://schemas.openxmlformats.org/officeDocument/2006/relationships/hyperlink" Target="https://www.lcsc.com/product-detail/span-style-background-color-ff0-Pin-span-Headers_XFCN-PZ254V-11-06P_C492405.html" TargetMode="External"/><Relationship Id="rId7" Type="http://schemas.openxmlformats.org/officeDocument/2006/relationships/hyperlink" Target="https://www.lcsc.com/product-detail/Multilayer-Ceramic-Capacitors-MLCC-SMD-SMT_Samsung-Electro-Mechanics-CL10A105KA8NNNC_C5673.html" TargetMode="External"/><Relationship Id="rId2" Type="http://schemas.openxmlformats.org/officeDocument/2006/relationships/hyperlink" Target="https://www.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RF-Connectors-Coaxial-Connectors_HRS-Hirose-U-FL-R-SMT-1-80_C88374.html" TargetMode="External"/><Relationship Id="rId29" Type="http://schemas.openxmlformats.org/officeDocument/2006/relationships/hyperlink" Target="https://lcsc.com/product-detail/Chip-Resistor-Surface-Mount_YAGEO-RC0603JR-074K7L_C105428.html" TargetMode="External"/><Relationship Id="rId11" Type="http://schemas.openxmlformats.org/officeDocument/2006/relationships/hyperlink" Target="https://www.lcsc.com/product-detail/Multilayer-Ceramic-Capacitors-MLCC-SMD-SMT_YAGEO-CC0603JRNPO9BN200_C105621.html" TargetMode="External"/><Relationship Id="rId24" Type="http://schemas.openxmlformats.org/officeDocument/2006/relationships/hyperlink" Target="https://lcsc.com/product-detail/MOSFETs_Infineon-Technologies-IRF3205STRLPBF_C2613.html" TargetMode="External"/><Relationship Id="rId32" Type="http://schemas.openxmlformats.org/officeDocument/2006/relationships/hyperlink" Target="https://lcsc.com/product-detail/Chip-Resistor-Surface-Mount_YAGEO-RC0603FR-071KL_C22548.html" TargetMode="External"/><Relationship Id="rId37" Type="http://schemas.openxmlformats.org/officeDocument/2006/relationships/hyperlink" Target="https://lcsc.com/product-detail/Chip-Resistor-Surface-Mount_Resistor-Today-PTFR0603B5K60P9_C351638.html" TargetMode="External"/><Relationship Id="rId40" Type="http://schemas.openxmlformats.org/officeDocument/2006/relationships/hyperlink" Target="https://lcsc.com/product-detail/Chip-Resistor-Surface-Mount_RALEC-RTT03R330FTP_C103893.html" TargetMode="External"/><Relationship Id="rId45" Type="http://schemas.openxmlformats.org/officeDocument/2006/relationships/hyperlink" Target="https://lcsc.com/product-detail/Varistors_Hongzhi-Elec-14D330K_C137829.html" TargetMode="External"/><Relationship Id="rId53" Type="http://schemas.openxmlformats.org/officeDocument/2006/relationships/hyperlink" Target="https://lcsc.com/product-detail/RF-Modules_G-NiceRF-SRX883PRO-433MHz_C3001518.html" TargetMode="External"/><Relationship Id="rId58" Type="http://schemas.openxmlformats.org/officeDocument/2006/relationships/hyperlink" Target="https://lcsc.com/product-detail/Schottky-Barrier-Diodes-SBD_YFW-SS510_C2898359.html" TargetMode="External"/><Relationship Id="rId66" Type="http://schemas.openxmlformats.org/officeDocument/2006/relationships/hyperlink" Target="https://www.lcsc.com/product-detail/Light-Emitting-Diodes-span-style-background-color-ff0-LED-span_Yongyu-Photoelectric-SZYY0402Y_C434450.html" TargetMode="External"/><Relationship Id="rId5" Type="http://schemas.openxmlformats.org/officeDocument/2006/relationships/hyperlink" Target="https://www.lcsc.com/product-detail/Aluminum-Electrolytic-Capacitors-SMD_CX-Dongguan-Chengxing-Elec-RVT1E100M0405_C81985.html" TargetMode="External"/><Relationship Id="rId61" Type="http://schemas.openxmlformats.org/officeDocument/2006/relationships/hyperlink" Target="https://lcsc.com/product-detail/TVS_FTR-SMBJ33CA_C693501.html" TargetMode="External"/><Relationship Id="rId19" Type="http://schemas.openxmlformats.org/officeDocument/2006/relationships/hyperlink" Target="https://lcsc.com/product-detail/Inductors-SMD_Murata-Electronics-LQW15AN39NG80D_C269823.html" TargetMode="External"/><Relationship Id="rId14" Type="http://schemas.openxmlformats.org/officeDocument/2006/relationships/hyperlink" Target="https://lcsc.com/product-detail/Schottky-Barrier-Diodes-SBD_Vishay-Intertech-SS14-E3-61T_C47460.html" TargetMode="External"/><Relationship Id="rId22" Type="http://schemas.openxmlformats.org/officeDocument/2006/relationships/hyperlink" Target="https://lcsc.com/product-detail/Pin-Headers_Ckmtw-Shenzhen-Cankemeng-B-2100S08P-B110_C124386.html" TargetMode="External"/><Relationship Id="rId27" Type="http://schemas.openxmlformats.org/officeDocument/2006/relationships/hyperlink" Target="https://lcsc.com/product-detail/Chip-Resistor-Surface-Mount_UNI-ROYAL-Uniroyal-Elec-TC0325B6801T5F_C2982989.html" TargetMode="External"/><Relationship Id="rId30" Type="http://schemas.openxmlformats.org/officeDocument/2006/relationships/hyperlink" Target="https://lcsc.com/product-detail/Chip-Resistor-Surface-Mount_YAGEO-AC0603JR-0710KL_C140867.html" TargetMode="External"/><Relationship Id="rId35" Type="http://schemas.openxmlformats.org/officeDocument/2006/relationships/hyperlink" Target="https://lcsc.com/product-detail/Variable-Resistors-Potentiometers_HDK-Hokuriku-Elec-Industry-VG039NCHXTB222_C145162.html" TargetMode="External"/><Relationship Id="rId43" Type="http://schemas.openxmlformats.org/officeDocument/2006/relationships/hyperlink" Target="https://lcsc.com/product-detail/Chip-Resistor-Surface-Mount_YAGEO-RT0603BRD07820KL_C861571.html" TargetMode="External"/><Relationship Id="rId48" Type="http://schemas.openxmlformats.org/officeDocument/2006/relationships/hyperlink" Target="https://lcsc.com/product-detail/Gate-Drive-ICs_Infineon-Technologies-IR2104STRPBF_C2960.html" TargetMode="External"/><Relationship Id="rId56" Type="http://schemas.openxmlformats.org/officeDocument/2006/relationships/hyperlink" Target="https://lcsc.com/product-detail/Crystals_JYJE-S1C13523ZWFAC_C2681243.html" TargetMode="External"/><Relationship Id="rId64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lcsc.com/product-detail/Linear-Voltage-Regulators-LDO_Texas-Instruments-LP5900SD-3-3-NOPB_C131975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lcsc.com/product-detail/Female-Headers_DEALON-DW254W-11-04-85_C2935994.html" TargetMode="External"/><Relationship Id="rId25" Type="http://schemas.openxmlformats.org/officeDocument/2006/relationships/hyperlink" Target="https://lcsc.com/product-detail/MOSFETs_Shenzhen-ruichips-Semicon-RU6085H_C181990.html" TargetMode="External"/><Relationship Id="rId33" Type="http://schemas.openxmlformats.org/officeDocument/2006/relationships/hyperlink" Target="https://lcsc.com/product-detail/Chip-Resistor-Surface-Mount_YAGEO-RT0603BRD0768KL_C705793.html" TargetMode="External"/><Relationship Id="rId38" Type="http://schemas.openxmlformats.org/officeDocument/2006/relationships/hyperlink" Target="https://lcsc.com/product-detail/Chip-Resistor-Surface-Mount_YAGEO-RC0603FR-0747RL_C114623.html" TargetMode="External"/><Relationship Id="rId46" Type="http://schemas.openxmlformats.org/officeDocument/2006/relationships/hyperlink" Target="https://lcsc.com/product-detail/Tactile-Switches_XKB-Connectivity-TS-1185EC-C-D-B_C318893.html" TargetMode="External"/><Relationship Id="rId59" Type="http://schemas.openxmlformats.org/officeDocument/2006/relationships/hyperlink" Target="https://lcsc.com/product-detail/TVS_MDD-Microdiode-Electronics-SMAJ5-0CA_C116601.html" TargetMode="External"/><Relationship Id="rId67" Type="http://schemas.openxmlformats.org/officeDocument/2006/relationships/hyperlink" Target="https://www.lcsc.com/product-detail/span-style-background-color-ff0-Pin-span-Headers_XFCN-PZ254V-12-6P_C492420.html" TargetMode="External"/><Relationship Id="rId20" Type="http://schemas.openxmlformats.org/officeDocument/2006/relationships/hyperlink" Target="https://lcsc.com/product-detail/Inductors-SMD_EMTEK-HSC0603-33NJ-T_C251779.html" TargetMode="External"/><Relationship Id="rId41" Type="http://schemas.openxmlformats.org/officeDocument/2006/relationships/hyperlink" Target="https://lcsc.com/product-detail/Chip-Resistor-Surface-Mount_YAGEO-AC0603JR-07470KL_C144601.html" TargetMode="External"/><Relationship Id="rId54" Type="http://schemas.openxmlformats.org/officeDocument/2006/relationships/hyperlink" Target="https://lcsc.com/product-detail/Interface-Specialized_PTC-Princeton-Tech-PT2272-L4S_C80963.html" TargetMode="External"/><Relationship Id="rId62" Type="http://schemas.openxmlformats.org/officeDocument/2006/relationships/hyperlink" Target="https://lcsc.com/product-detail/Zener-Diodes_LGE-SZ4516_C2903793.html" TargetMode="External"/><Relationship Id="rId70" Type="http://schemas.openxmlformats.org/officeDocument/2006/relationships/drawing" Target="../drawings/drawing1.xm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JRNPO9BN180_C107040.html" TargetMode="External"/><Relationship Id="rId15" Type="http://schemas.openxmlformats.org/officeDocument/2006/relationships/hyperlink" Target="https://lcsc.com/product-detail/Switching-Diode_Diodes-Incorporated-1N4148WS-7-F_C60580.html" TargetMode="External"/><Relationship Id="rId23" Type="http://schemas.openxmlformats.org/officeDocument/2006/relationships/hyperlink" Target="https://lcsc.com/product-detail/Bipolar-Transistors-BJT_onsemi-MMBT5551LT1G_C41095.html" TargetMode="External"/><Relationship Id="rId28" Type="http://schemas.openxmlformats.org/officeDocument/2006/relationships/hyperlink" Target="https://lcsc.com/product-detail/Chip-Resistor-Surface-Mount_YAGEO-RT0603BRD073K3L_C309653.html" TargetMode="External"/><Relationship Id="rId36" Type="http://schemas.openxmlformats.org/officeDocument/2006/relationships/hyperlink" Target="https://lcsc.com/product-detail/Chip-Resistor-Surface-Mount_YAGEO-RC0603FR-072K2L_C114662.html" TargetMode="External"/><Relationship Id="rId49" Type="http://schemas.openxmlformats.org/officeDocument/2006/relationships/hyperlink" Target="https://lcsc.com/product-detail/Current-Sensors_Allegro-MicroSystems-LLC-ACS712ELCTR-20A-T_C10681.html" TargetMode="External"/><Relationship Id="rId57" Type="http://schemas.openxmlformats.org/officeDocument/2006/relationships/hyperlink" Target="https://lcsc.com/product-detail/Multilayer-Ceramic-Capacitors-MLCC-SMD-SMT_Taiyo-Yuden-UMK107BBJ225KA-T_C268016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lcsc.com/product-detail/Chip-Resistor-Surface-Mount_YAGEO-RC0603FR-071K2L_C114605.html" TargetMode="External"/><Relationship Id="rId44" Type="http://schemas.openxmlformats.org/officeDocument/2006/relationships/hyperlink" Target="https://lcsc.com/product-detail/Chip-Resistor-Surface-Mount_YAGEO-RC0603FR-07220RL_C107696.html" TargetMode="External"/><Relationship Id="rId52" Type="http://schemas.openxmlformats.org/officeDocument/2006/relationships/hyperlink" Target="https://lcsc.com/product-detail/RF-Transceiver-ICs_Microchip-Tech-MICRF220AYQS_C219772.html" TargetMode="External"/><Relationship Id="rId60" Type="http://schemas.openxmlformats.org/officeDocument/2006/relationships/hyperlink" Target="https://lcsc.com/product-detail/Switching-Diode_YFW-1N4148WS_C1884546.html" TargetMode="External"/><Relationship Id="rId65" Type="http://schemas.openxmlformats.org/officeDocument/2006/relationships/hyperlink" Target="https://www.lcsc.com/product-detail/Light-Emitting-Diodes-span-style-background-color-ff0-LED-span_Foshan-NationStar-Optoelectronics-NCD0402B1_C130724.html" TargetMode="External"/><Relationship Id="rId4" Type="http://schemas.openxmlformats.org/officeDocument/2006/relationships/hyperlink" Target="https://www.lcsc.com/product-detail/Tantalum-Capacitors_Kyocera-AVX-TAJE107M025RNJ_C7230.html" TargetMode="External"/><Relationship Id="rId9" Type="http://schemas.openxmlformats.org/officeDocument/2006/relationships/hyperlink" Target="https://www.lcsc.com/product-detail/Multilayer-Ceramic-Capacitors-MLCC-SMD-SMT_Samsung-Electro-Mechanics-CL10B102KC8NNNC_C153291.html" TargetMode="External"/><Relationship Id="rId13" Type="http://schemas.openxmlformats.org/officeDocument/2006/relationships/hyperlink" Target="https://www.lcsc.com/product-detail/Multilayer-Ceramic-Capacitors-MLCC-SMD-SMT_YAGEO-CC0603CRNPO9BN1R5_C163551.html" TargetMode="External"/><Relationship Id="rId18" Type="http://schemas.openxmlformats.org/officeDocument/2006/relationships/hyperlink" Target="https://lcsc.com/product-detail/Power-Inductors_BOURNS-SRN8040-101M_C780190.html" TargetMode="External"/><Relationship Id="rId39" Type="http://schemas.openxmlformats.org/officeDocument/2006/relationships/hyperlink" Target="https://lcsc.com/product-detail/Chip-Resistor-Surface-Mount_YAGEO-RT0603CRE07180RL_C705909.html" TargetMode="External"/><Relationship Id="rId34" Type="http://schemas.openxmlformats.org/officeDocument/2006/relationships/hyperlink" Target="https://lcsc.com/product-detail/Chip-Resistor-Surface-Mount_YAGEO-RC0603JR-07330RL_C105879.html" TargetMode="External"/><Relationship Id="rId50" Type="http://schemas.openxmlformats.org/officeDocument/2006/relationships/hyperlink" Target="https://lcsc.com/product-detail/DC-DC-Converters_onsemi-MC34063ADR2G_C32078.html" TargetMode="External"/><Relationship Id="rId55" Type="http://schemas.openxmlformats.org/officeDocument/2006/relationships/hyperlink" Target="https://lcsc.com/product-detail/Crystals_Yangxing-Tech-X322512MOB4SI_C7056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6"/>
  <sheetViews>
    <sheetView tabSelected="1" topLeftCell="G70" workbookViewId="0">
      <selection activeCell="M92" sqref="M9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29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5.710937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451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452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40"/>
      <c r="D4" s="13" t="s">
        <v>2</v>
      </c>
      <c r="E4" s="13"/>
      <c r="F4" s="57" t="s">
        <v>452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341</v>
      </c>
      <c r="D9" s="30" t="s">
        <v>6</v>
      </c>
      <c r="E9" s="31" t="s">
        <v>79</v>
      </c>
      <c r="F9" s="30" t="s">
        <v>154</v>
      </c>
      <c r="G9" s="31" t="s">
        <v>194</v>
      </c>
      <c r="H9" s="30" t="s">
        <v>253</v>
      </c>
      <c r="I9" s="30" t="s">
        <v>358</v>
      </c>
      <c r="J9" s="30" t="s">
        <v>359</v>
      </c>
      <c r="K9" s="30" t="s">
        <v>360</v>
      </c>
      <c r="L9" s="31" t="s">
        <v>340</v>
      </c>
      <c r="M9" s="30" t="s">
        <v>361</v>
      </c>
      <c r="N9" s="30" t="s">
        <v>362</v>
      </c>
      <c r="O9" s="30" t="s">
        <v>363</v>
      </c>
      <c r="P9" s="30" t="s">
        <v>364</v>
      </c>
      <c r="Q9" s="30" t="s">
        <v>365</v>
      </c>
      <c r="R9" s="32" t="s">
        <v>366</v>
      </c>
      <c r="S9" s="32" t="s">
        <v>367</v>
      </c>
    </row>
    <row r="10" spans="1:19" ht="15.75" thickBot="1" x14ac:dyDescent="0.3">
      <c r="A10" s="1"/>
      <c r="B10" s="38">
        <f>ROW(B10) - ROW($B$9)</f>
        <v>1</v>
      </c>
      <c r="C10" s="59" t="s">
        <v>342</v>
      </c>
      <c r="D10" s="46" t="s">
        <v>7</v>
      </c>
      <c r="E10" s="47" t="s">
        <v>80</v>
      </c>
      <c r="F10" s="46" t="s">
        <v>355</v>
      </c>
      <c r="G10" s="47" t="s">
        <v>155</v>
      </c>
      <c r="H10" s="46" t="s">
        <v>254</v>
      </c>
      <c r="I10" s="46" t="s">
        <v>356</v>
      </c>
      <c r="J10" s="46" t="s">
        <v>368</v>
      </c>
      <c r="K10" s="46" t="s">
        <v>300</v>
      </c>
      <c r="L10" s="47">
        <v>2</v>
      </c>
      <c r="M10" s="46">
        <f>L10*5</f>
        <v>10</v>
      </c>
      <c r="N10" s="46">
        <v>11</v>
      </c>
      <c r="O10" s="64" t="s">
        <v>369</v>
      </c>
      <c r="P10" s="53">
        <v>0.24690000000000001</v>
      </c>
      <c r="Q10" s="53">
        <f>P10*N10</f>
        <v>2.7159</v>
      </c>
      <c r="R10" s="48"/>
      <c r="S10" s="49"/>
    </row>
    <row r="11" spans="1:19" ht="48.75" thickBot="1" x14ac:dyDescent="0.3">
      <c r="A11" s="1"/>
      <c r="B11" s="38">
        <f t="shared" ref="B11:B84" si="0">ROW(B11) - ROW($B$9)</f>
        <v>2</v>
      </c>
      <c r="C11" s="60" t="s">
        <v>342</v>
      </c>
      <c r="D11" s="50" t="s">
        <v>8</v>
      </c>
      <c r="E11" s="51" t="s">
        <v>81</v>
      </c>
      <c r="F11" s="50" t="s">
        <v>355</v>
      </c>
      <c r="G11" s="50" t="s">
        <v>156</v>
      </c>
      <c r="H11" s="50" t="s">
        <v>255</v>
      </c>
      <c r="I11" s="50" t="s">
        <v>356</v>
      </c>
      <c r="J11" s="50" t="s">
        <v>370</v>
      </c>
      <c r="K11" s="50" t="s">
        <v>301</v>
      </c>
      <c r="L11" s="51">
        <v>3</v>
      </c>
      <c r="M11" s="50">
        <f t="shared" ref="M11:M71" si="1">L11*5</f>
        <v>15</v>
      </c>
      <c r="N11" s="50">
        <v>16</v>
      </c>
      <c r="O11" s="65" t="s">
        <v>369</v>
      </c>
      <c r="P11" s="54">
        <v>0.40799999999999997</v>
      </c>
      <c r="Q11" s="54">
        <f t="shared" ref="Q11:Q71" si="2">P11*N11</f>
        <v>6.5279999999999996</v>
      </c>
      <c r="R11" s="52"/>
      <c r="S11" s="52"/>
    </row>
    <row r="12" spans="1:19" ht="24.75" thickBot="1" x14ac:dyDescent="0.3">
      <c r="A12" s="1"/>
      <c r="B12" s="38">
        <f>ROW(B12) - ROW($B$9)</f>
        <v>3</v>
      </c>
      <c r="C12" s="59" t="s">
        <v>342</v>
      </c>
      <c r="D12" s="46" t="s">
        <v>9</v>
      </c>
      <c r="E12" s="47" t="s">
        <v>82</v>
      </c>
      <c r="F12" s="46" t="s">
        <v>157</v>
      </c>
      <c r="G12" s="46" t="s">
        <v>195</v>
      </c>
      <c r="H12" s="46" t="s">
        <v>256</v>
      </c>
      <c r="I12" s="46" t="s">
        <v>356</v>
      </c>
      <c r="J12" s="46" t="s">
        <v>371</v>
      </c>
      <c r="K12" s="46" t="s">
        <v>302</v>
      </c>
      <c r="L12" s="47">
        <v>15</v>
      </c>
      <c r="M12" s="46">
        <f t="shared" si="1"/>
        <v>75</v>
      </c>
      <c r="N12" s="46">
        <v>100</v>
      </c>
      <c r="O12" s="64" t="s">
        <v>369</v>
      </c>
      <c r="P12" s="53">
        <v>6.0000000000000001E-3</v>
      </c>
      <c r="Q12" s="53">
        <f t="shared" si="2"/>
        <v>0.6</v>
      </c>
      <c r="R12" s="48"/>
      <c r="S12" s="49"/>
    </row>
    <row r="13" spans="1:19" ht="15.75" thickBot="1" x14ac:dyDescent="0.3">
      <c r="A13" s="1"/>
      <c r="B13" s="38">
        <f t="shared" si="0"/>
        <v>4</v>
      </c>
      <c r="C13" s="60" t="s">
        <v>342</v>
      </c>
      <c r="D13" s="50" t="s">
        <v>10</v>
      </c>
      <c r="E13" s="51" t="s">
        <v>83</v>
      </c>
      <c r="F13" s="50" t="s">
        <v>158</v>
      </c>
      <c r="G13" s="50" t="s">
        <v>196</v>
      </c>
      <c r="H13" s="50" t="s">
        <v>257</v>
      </c>
      <c r="I13" s="50" t="s">
        <v>356</v>
      </c>
      <c r="J13" s="50" t="s">
        <v>372</v>
      </c>
      <c r="K13" s="50" t="s">
        <v>303</v>
      </c>
      <c r="L13" s="51">
        <v>1</v>
      </c>
      <c r="M13" s="50">
        <f t="shared" si="1"/>
        <v>5</v>
      </c>
      <c r="N13" s="50">
        <v>6</v>
      </c>
      <c r="O13" s="65" t="s">
        <v>369</v>
      </c>
      <c r="P13" s="54">
        <v>0.8125</v>
      </c>
      <c r="Q13" s="54">
        <f t="shared" si="2"/>
        <v>4.875</v>
      </c>
      <c r="R13" s="52"/>
      <c r="S13" s="52"/>
    </row>
    <row r="14" spans="1:19" ht="15.75" thickBot="1" x14ac:dyDescent="0.3">
      <c r="A14" s="1"/>
      <c r="B14" s="38">
        <f>ROW(B14) - ROW($B$9)</f>
        <v>5</v>
      </c>
      <c r="C14" s="59" t="s">
        <v>342</v>
      </c>
      <c r="D14" s="46" t="s">
        <v>11</v>
      </c>
      <c r="E14" s="47" t="s">
        <v>84</v>
      </c>
      <c r="F14" s="46" t="s">
        <v>355</v>
      </c>
      <c r="G14" s="47" t="s">
        <v>374</v>
      </c>
      <c r="H14" s="46" t="s">
        <v>258</v>
      </c>
      <c r="I14" s="46" t="s">
        <v>356</v>
      </c>
      <c r="J14" s="46" t="s">
        <v>373</v>
      </c>
      <c r="K14" s="46" t="s">
        <v>304</v>
      </c>
      <c r="L14" s="47">
        <v>4</v>
      </c>
      <c r="M14" s="46">
        <f t="shared" si="1"/>
        <v>20</v>
      </c>
      <c r="N14" s="46">
        <v>30</v>
      </c>
      <c r="O14" s="64" t="s">
        <v>369</v>
      </c>
      <c r="P14" s="53">
        <v>3.5299999999999998E-2</v>
      </c>
      <c r="Q14" s="53">
        <f t="shared" si="2"/>
        <v>1.0589999999999999</v>
      </c>
      <c r="R14" s="48"/>
      <c r="S14" s="49"/>
    </row>
    <row r="15" spans="1:19" ht="24.75" thickBot="1" x14ac:dyDescent="0.3">
      <c r="A15" s="1"/>
      <c r="B15" s="38">
        <f t="shared" si="0"/>
        <v>6</v>
      </c>
      <c r="C15" s="60" t="s">
        <v>342</v>
      </c>
      <c r="D15" s="50" t="s">
        <v>12</v>
      </c>
      <c r="E15" s="51" t="s">
        <v>85</v>
      </c>
      <c r="F15" s="50" t="s">
        <v>157</v>
      </c>
      <c r="G15" s="50" t="s">
        <v>197</v>
      </c>
      <c r="H15" s="50" t="s">
        <v>256</v>
      </c>
      <c r="I15" s="50" t="s">
        <v>356</v>
      </c>
      <c r="J15" s="50" t="s">
        <v>375</v>
      </c>
      <c r="K15" s="50" t="s">
        <v>305</v>
      </c>
      <c r="L15" s="51">
        <v>2</v>
      </c>
      <c r="M15" s="50">
        <f t="shared" si="1"/>
        <v>10</v>
      </c>
      <c r="N15" s="50">
        <v>100</v>
      </c>
      <c r="O15" s="65" t="s">
        <v>369</v>
      </c>
      <c r="P15" s="54">
        <v>2.8E-3</v>
      </c>
      <c r="Q15" s="54">
        <f t="shared" si="2"/>
        <v>0.27999999999999997</v>
      </c>
      <c r="R15" s="52"/>
      <c r="S15" s="52"/>
    </row>
    <row r="16" spans="1:19" ht="24.75" thickBot="1" x14ac:dyDescent="0.3">
      <c r="A16" s="1"/>
      <c r="B16" s="38">
        <f>ROW(B16) - ROW($B$9)</f>
        <v>7</v>
      </c>
      <c r="C16" s="59" t="s">
        <v>342</v>
      </c>
      <c r="D16" s="46" t="s">
        <v>13</v>
      </c>
      <c r="E16" s="47" t="s">
        <v>86</v>
      </c>
      <c r="F16" s="46" t="s">
        <v>157</v>
      </c>
      <c r="G16" s="47" t="s">
        <v>198</v>
      </c>
      <c r="H16" s="46" t="s">
        <v>259</v>
      </c>
      <c r="I16" s="46" t="s">
        <v>356</v>
      </c>
      <c r="J16" s="46" t="s">
        <v>376</v>
      </c>
      <c r="K16" s="46" t="s">
        <v>306</v>
      </c>
      <c r="L16" s="47">
        <v>10</v>
      </c>
      <c r="M16" s="46">
        <f t="shared" si="1"/>
        <v>50</v>
      </c>
      <c r="N16" s="46">
        <v>100</v>
      </c>
      <c r="O16" s="64" t="s">
        <v>369</v>
      </c>
      <c r="P16" s="53">
        <v>4.1999999999999997E-3</v>
      </c>
      <c r="Q16" s="53">
        <f t="shared" si="2"/>
        <v>0.42</v>
      </c>
      <c r="R16" s="48"/>
      <c r="S16" s="49"/>
    </row>
    <row r="17" spans="1:19" ht="15.75" thickBot="1" x14ac:dyDescent="0.3">
      <c r="A17" s="1"/>
      <c r="B17" s="38">
        <f t="shared" si="0"/>
        <v>8</v>
      </c>
      <c r="C17" s="60" t="s">
        <v>342</v>
      </c>
      <c r="D17" s="50" t="s">
        <v>14</v>
      </c>
      <c r="E17" s="51" t="s">
        <v>87</v>
      </c>
      <c r="F17" s="50" t="s">
        <v>157</v>
      </c>
      <c r="G17" s="50" t="s">
        <v>199</v>
      </c>
      <c r="H17" s="50" t="s">
        <v>260</v>
      </c>
      <c r="I17" s="50" t="s">
        <v>356</v>
      </c>
      <c r="J17" s="50" t="s">
        <v>377</v>
      </c>
      <c r="K17" s="50" t="s">
        <v>304</v>
      </c>
      <c r="L17" s="51">
        <v>2</v>
      </c>
      <c r="M17" s="50">
        <f t="shared" si="1"/>
        <v>10</v>
      </c>
      <c r="N17" s="50">
        <v>20</v>
      </c>
      <c r="O17" s="65" t="s">
        <v>369</v>
      </c>
      <c r="P17" s="54">
        <v>1.4200000000000001E-2</v>
      </c>
      <c r="Q17" s="54">
        <f t="shared" si="2"/>
        <v>0.28400000000000003</v>
      </c>
      <c r="R17" s="52"/>
      <c r="S17" s="52"/>
    </row>
    <row r="18" spans="1:19" ht="15.75" thickBot="1" x14ac:dyDescent="0.3">
      <c r="A18" s="1"/>
      <c r="B18" s="38">
        <f>ROW(B18) - ROW($B$9)</f>
        <v>9</v>
      </c>
      <c r="C18" s="59" t="s">
        <v>342</v>
      </c>
      <c r="D18" s="46" t="s">
        <v>15</v>
      </c>
      <c r="E18" s="47" t="s">
        <v>88</v>
      </c>
      <c r="F18" s="46" t="s">
        <v>157</v>
      </c>
      <c r="G18" s="47" t="s">
        <v>200</v>
      </c>
      <c r="H18" s="46" t="s">
        <v>260</v>
      </c>
      <c r="I18" s="46" t="s">
        <v>356</v>
      </c>
      <c r="J18" s="46" t="s">
        <v>378</v>
      </c>
      <c r="K18" s="46" t="s">
        <v>307</v>
      </c>
      <c r="L18" s="47">
        <v>1</v>
      </c>
      <c r="M18" s="46">
        <f t="shared" si="1"/>
        <v>5</v>
      </c>
      <c r="N18" s="46">
        <v>100</v>
      </c>
      <c r="O18" s="64" t="s">
        <v>369</v>
      </c>
      <c r="P18" s="53">
        <v>5.1000000000000004E-3</v>
      </c>
      <c r="Q18" s="53">
        <f t="shared" si="2"/>
        <v>0.51</v>
      </c>
      <c r="R18" s="48"/>
      <c r="S18" s="49"/>
    </row>
    <row r="19" spans="1:19" ht="15.75" thickBot="1" x14ac:dyDescent="0.3">
      <c r="A19" s="1"/>
      <c r="B19" s="38">
        <f t="shared" si="0"/>
        <v>10</v>
      </c>
      <c r="C19" s="60" t="s">
        <v>342</v>
      </c>
      <c r="D19" s="50" t="s">
        <v>16</v>
      </c>
      <c r="E19" s="51" t="s">
        <v>89</v>
      </c>
      <c r="F19" s="50" t="s">
        <v>157</v>
      </c>
      <c r="G19" s="50" t="s">
        <v>201</v>
      </c>
      <c r="H19" s="50" t="s">
        <v>261</v>
      </c>
      <c r="I19" s="50" t="s">
        <v>356</v>
      </c>
      <c r="J19" s="50" t="s">
        <v>379</v>
      </c>
      <c r="K19" s="50" t="s">
        <v>308</v>
      </c>
      <c r="L19" s="51">
        <v>2</v>
      </c>
      <c r="M19" s="50">
        <f t="shared" si="1"/>
        <v>10</v>
      </c>
      <c r="N19" s="50">
        <v>20</v>
      </c>
      <c r="O19" s="65" t="s">
        <v>369</v>
      </c>
      <c r="P19" s="54">
        <v>3.2899999999999999E-2</v>
      </c>
      <c r="Q19" s="54">
        <f t="shared" si="2"/>
        <v>0.65799999999999992</v>
      </c>
      <c r="R19" s="52"/>
      <c r="S19" s="52"/>
    </row>
    <row r="20" spans="1:19" ht="15.75" thickBot="1" x14ac:dyDescent="0.3">
      <c r="A20" s="1"/>
      <c r="B20" s="38">
        <f>ROW(B20) - ROW($B$9)</f>
        <v>11</v>
      </c>
      <c r="C20" s="59" t="s">
        <v>342</v>
      </c>
      <c r="D20" s="46" t="s">
        <v>17</v>
      </c>
      <c r="E20" s="47" t="s">
        <v>90</v>
      </c>
      <c r="F20" s="46" t="s">
        <v>159</v>
      </c>
      <c r="G20" s="47" t="s">
        <v>202</v>
      </c>
      <c r="H20" s="46" t="s">
        <v>256</v>
      </c>
      <c r="I20" s="46" t="s">
        <v>356</v>
      </c>
      <c r="J20" s="46" t="s">
        <v>380</v>
      </c>
      <c r="K20" s="46" t="s">
        <v>309</v>
      </c>
      <c r="L20" s="47">
        <v>2</v>
      </c>
      <c r="M20" s="46">
        <f t="shared" si="1"/>
        <v>10</v>
      </c>
      <c r="N20" s="46">
        <v>100</v>
      </c>
      <c r="O20" s="64" t="s">
        <v>369</v>
      </c>
      <c r="P20" s="53">
        <v>2.8999999999999998E-3</v>
      </c>
      <c r="Q20" s="53">
        <f t="shared" si="2"/>
        <v>0.28999999999999998</v>
      </c>
      <c r="R20" s="48"/>
      <c r="S20" s="49"/>
    </row>
    <row r="21" spans="1:19" ht="15.75" thickBot="1" x14ac:dyDescent="0.3">
      <c r="A21" s="1"/>
      <c r="B21" s="38">
        <f t="shared" si="0"/>
        <v>12</v>
      </c>
      <c r="C21" s="60" t="s">
        <v>342</v>
      </c>
      <c r="D21" s="50" t="s">
        <v>18</v>
      </c>
      <c r="E21" s="51" t="s">
        <v>91</v>
      </c>
      <c r="F21" s="50" t="s">
        <v>157</v>
      </c>
      <c r="G21" s="50" t="s">
        <v>203</v>
      </c>
      <c r="H21" s="50" t="s">
        <v>256</v>
      </c>
      <c r="I21" s="50" t="s">
        <v>356</v>
      </c>
      <c r="J21" s="50" t="s">
        <v>381</v>
      </c>
      <c r="K21" s="50" t="s">
        <v>310</v>
      </c>
      <c r="L21" s="51">
        <v>1</v>
      </c>
      <c r="M21" s="50">
        <f t="shared" si="1"/>
        <v>5</v>
      </c>
      <c r="N21" s="50">
        <v>100</v>
      </c>
      <c r="O21" s="65" t="s">
        <v>369</v>
      </c>
      <c r="P21" s="54">
        <v>3.7000000000000002E-3</v>
      </c>
      <c r="Q21" s="54">
        <f t="shared" si="2"/>
        <v>0.37</v>
      </c>
      <c r="R21" s="52"/>
      <c r="S21" s="52"/>
    </row>
    <row r="22" spans="1:19" ht="15.75" thickBot="1" x14ac:dyDescent="0.3">
      <c r="A22" s="1"/>
      <c r="B22" s="38">
        <f>ROW(B22) - ROW($B$9)</f>
        <v>13</v>
      </c>
      <c r="C22" s="59" t="s">
        <v>342</v>
      </c>
      <c r="D22" s="46" t="s">
        <v>446</v>
      </c>
      <c r="E22" s="47" t="s">
        <v>92</v>
      </c>
      <c r="F22" s="46" t="s">
        <v>157</v>
      </c>
      <c r="G22" s="66" t="s">
        <v>204</v>
      </c>
      <c r="H22" s="46" t="s">
        <v>261</v>
      </c>
      <c r="I22" s="46" t="s">
        <v>427</v>
      </c>
      <c r="J22" s="46" t="s">
        <v>428</v>
      </c>
      <c r="K22" s="46" t="s">
        <v>311</v>
      </c>
      <c r="L22" s="47">
        <v>2</v>
      </c>
      <c r="M22" s="46">
        <f t="shared" si="1"/>
        <v>10</v>
      </c>
      <c r="N22" s="46">
        <v>20</v>
      </c>
      <c r="O22" s="64" t="s">
        <v>369</v>
      </c>
      <c r="P22" s="53">
        <v>3.2099999999999997E-2</v>
      </c>
      <c r="Q22" s="53">
        <f t="shared" si="2"/>
        <v>0.6419999999999999</v>
      </c>
      <c r="R22" s="48"/>
      <c r="S22" s="49"/>
    </row>
    <row r="23" spans="1:19" ht="15.75" thickBot="1" x14ac:dyDescent="0.3">
      <c r="A23" s="1"/>
      <c r="B23" s="38">
        <f t="shared" si="0"/>
        <v>14</v>
      </c>
      <c r="C23" s="60" t="s">
        <v>342</v>
      </c>
      <c r="D23" s="50" t="s">
        <v>19</v>
      </c>
      <c r="E23" s="51" t="s">
        <v>93</v>
      </c>
      <c r="F23" s="50" t="s">
        <v>157</v>
      </c>
      <c r="G23" s="50" t="s">
        <v>205</v>
      </c>
      <c r="H23" s="50" t="s">
        <v>256</v>
      </c>
      <c r="I23" s="50" t="s">
        <v>356</v>
      </c>
      <c r="J23" s="50" t="s">
        <v>382</v>
      </c>
      <c r="K23" s="50" t="s">
        <v>312</v>
      </c>
      <c r="L23" s="51">
        <v>1</v>
      </c>
      <c r="M23" s="50">
        <f t="shared" si="1"/>
        <v>5</v>
      </c>
      <c r="N23" s="50">
        <v>100</v>
      </c>
      <c r="O23" s="65" t="s">
        <v>369</v>
      </c>
      <c r="P23" s="54">
        <v>3.8999999999999998E-3</v>
      </c>
      <c r="Q23" s="54">
        <f t="shared" si="2"/>
        <v>0.38999999999999996</v>
      </c>
      <c r="R23" s="52"/>
      <c r="S23" s="52"/>
    </row>
    <row r="24" spans="1:19" ht="36.75" thickBot="1" x14ac:dyDescent="0.3">
      <c r="A24" s="1"/>
      <c r="B24" s="38">
        <f t="shared" si="0"/>
        <v>15</v>
      </c>
      <c r="C24" s="59" t="s">
        <v>343</v>
      </c>
      <c r="D24" s="46" t="s">
        <v>20</v>
      </c>
      <c r="E24" s="47" t="s">
        <v>94</v>
      </c>
      <c r="F24" s="46" t="s">
        <v>160</v>
      </c>
      <c r="G24" s="47" t="s">
        <v>207</v>
      </c>
      <c r="H24" s="46" t="s">
        <v>263</v>
      </c>
      <c r="I24" s="46" t="s">
        <v>356</v>
      </c>
      <c r="J24" s="46" t="s">
        <v>429</v>
      </c>
      <c r="K24" s="46" t="s">
        <v>356</v>
      </c>
      <c r="L24" s="47">
        <v>1</v>
      </c>
      <c r="M24" s="46">
        <f t="shared" si="1"/>
        <v>5</v>
      </c>
      <c r="N24" s="46">
        <v>10</v>
      </c>
      <c r="O24" s="64" t="s">
        <v>369</v>
      </c>
      <c r="P24" s="53">
        <v>9.9699999999999997E-2</v>
      </c>
      <c r="Q24" s="53">
        <f t="shared" si="2"/>
        <v>0.997</v>
      </c>
      <c r="R24" s="48"/>
      <c r="S24" s="49"/>
    </row>
    <row r="25" spans="1:19" ht="24.75" thickBot="1" x14ac:dyDescent="0.3">
      <c r="A25" s="1"/>
      <c r="B25" s="38">
        <f>ROW(B25) - ROW($B$9)</f>
        <v>16</v>
      </c>
      <c r="C25" s="60" t="s">
        <v>343</v>
      </c>
      <c r="D25" s="50" t="s">
        <v>21</v>
      </c>
      <c r="E25" s="51" t="s">
        <v>95</v>
      </c>
      <c r="F25" s="50" t="s">
        <v>161</v>
      </c>
      <c r="G25" s="50" t="s">
        <v>208</v>
      </c>
      <c r="H25" s="50" t="s">
        <v>264</v>
      </c>
      <c r="I25" s="50" t="s">
        <v>356</v>
      </c>
      <c r="J25" s="50" t="s">
        <v>383</v>
      </c>
      <c r="K25" s="50" t="s">
        <v>356</v>
      </c>
      <c r="L25" s="51">
        <v>3</v>
      </c>
      <c r="M25" s="50">
        <f t="shared" si="1"/>
        <v>15</v>
      </c>
      <c r="N25" s="50">
        <v>20</v>
      </c>
      <c r="O25" s="65" t="s">
        <v>369</v>
      </c>
      <c r="P25" s="54">
        <v>6.4199999999999993E-2</v>
      </c>
      <c r="Q25" s="54">
        <f t="shared" si="2"/>
        <v>1.2839999999999998</v>
      </c>
      <c r="R25" s="52"/>
      <c r="S25" s="52"/>
    </row>
    <row r="26" spans="1:19" ht="24.75" thickBot="1" x14ac:dyDescent="0.3">
      <c r="A26" s="1"/>
      <c r="B26" s="38">
        <f t="shared" si="0"/>
        <v>17</v>
      </c>
      <c r="C26" s="59" t="s">
        <v>343</v>
      </c>
      <c r="D26" s="46" t="s">
        <v>22</v>
      </c>
      <c r="E26" s="47" t="s">
        <v>96</v>
      </c>
      <c r="F26" s="46" t="s">
        <v>161</v>
      </c>
      <c r="G26" s="47" t="s">
        <v>209</v>
      </c>
      <c r="H26" s="46" t="s">
        <v>265</v>
      </c>
      <c r="I26" s="46" t="s">
        <v>356</v>
      </c>
      <c r="J26" s="46" t="s">
        <v>430</v>
      </c>
      <c r="K26" s="46" t="s">
        <v>356</v>
      </c>
      <c r="L26" s="47">
        <v>3</v>
      </c>
      <c r="M26" s="46">
        <f t="shared" si="1"/>
        <v>15</v>
      </c>
      <c r="N26" s="46">
        <v>20</v>
      </c>
      <c r="O26" s="64" t="s">
        <v>369</v>
      </c>
      <c r="P26" s="53">
        <v>3.8899999999999997E-2</v>
      </c>
      <c r="Q26" s="53">
        <f t="shared" si="2"/>
        <v>0.77799999999999991</v>
      </c>
      <c r="R26" s="48"/>
      <c r="S26" s="49"/>
    </row>
    <row r="27" spans="1:19" ht="48.75" thickBot="1" x14ac:dyDescent="0.3">
      <c r="A27" s="1"/>
      <c r="B27" s="38">
        <f>ROW(B27) - ROW($B$9)</f>
        <v>18</v>
      </c>
      <c r="C27" s="60" t="s">
        <v>343</v>
      </c>
      <c r="D27" s="50" t="s">
        <v>23</v>
      </c>
      <c r="E27" s="51" t="s">
        <v>97</v>
      </c>
      <c r="F27" s="50" t="s">
        <v>162</v>
      </c>
      <c r="G27" s="50" t="s">
        <v>210</v>
      </c>
      <c r="H27" s="50" t="s">
        <v>263</v>
      </c>
      <c r="I27" s="50" t="s">
        <v>356</v>
      </c>
      <c r="J27" s="50" t="s">
        <v>431</v>
      </c>
      <c r="K27" s="50" t="s">
        <v>356</v>
      </c>
      <c r="L27" s="51">
        <v>4</v>
      </c>
      <c r="M27" s="50">
        <f t="shared" si="1"/>
        <v>20</v>
      </c>
      <c r="N27" s="50">
        <v>50</v>
      </c>
      <c r="O27" s="65" t="s">
        <v>369</v>
      </c>
      <c r="P27" s="54">
        <v>9.7000000000000003E-3</v>
      </c>
      <c r="Q27" s="54">
        <f t="shared" si="2"/>
        <v>0.48499999999999999</v>
      </c>
      <c r="R27" s="52"/>
      <c r="S27" s="52"/>
    </row>
    <row r="28" spans="1:19" ht="24.75" thickBot="1" x14ac:dyDescent="0.3">
      <c r="A28" s="1"/>
      <c r="B28" s="38">
        <f t="shared" si="0"/>
        <v>19</v>
      </c>
      <c r="C28" s="59" t="s">
        <v>343</v>
      </c>
      <c r="D28" s="46" t="s">
        <v>24</v>
      </c>
      <c r="E28" s="47" t="s">
        <v>98</v>
      </c>
      <c r="F28" s="46" t="s">
        <v>355</v>
      </c>
      <c r="G28" s="47" t="s">
        <v>163</v>
      </c>
      <c r="H28" s="46" t="s">
        <v>266</v>
      </c>
      <c r="I28" s="46" t="s">
        <v>356</v>
      </c>
      <c r="J28" s="46" t="s">
        <v>432</v>
      </c>
      <c r="K28" s="46" t="s">
        <v>356</v>
      </c>
      <c r="L28" s="47">
        <v>1</v>
      </c>
      <c r="M28" s="46">
        <f t="shared" si="1"/>
        <v>5</v>
      </c>
      <c r="N28" s="46">
        <v>10</v>
      </c>
      <c r="O28" s="64" t="s">
        <v>369</v>
      </c>
      <c r="P28" s="53">
        <v>5.6399999999999999E-2</v>
      </c>
      <c r="Q28" s="53">
        <f t="shared" si="2"/>
        <v>0.56399999999999995</v>
      </c>
      <c r="R28" s="48"/>
      <c r="S28" s="49"/>
    </row>
    <row r="29" spans="1:19" ht="24.75" thickBot="1" x14ac:dyDescent="0.3">
      <c r="A29" s="1"/>
      <c r="B29" s="38">
        <f>ROW(B29) - ROW($B$9)</f>
        <v>20</v>
      </c>
      <c r="C29" s="60" t="s">
        <v>343</v>
      </c>
      <c r="D29" s="50" t="s">
        <v>25</v>
      </c>
      <c r="E29" s="51" t="s">
        <v>99</v>
      </c>
      <c r="F29" s="50" t="s">
        <v>161</v>
      </c>
      <c r="G29" s="50" t="s">
        <v>211</v>
      </c>
      <c r="H29" s="50" t="s">
        <v>267</v>
      </c>
      <c r="I29" s="50" t="s">
        <v>356</v>
      </c>
      <c r="J29" s="50" t="s">
        <v>433</v>
      </c>
      <c r="K29" s="50" t="s">
        <v>356</v>
      </c>
      <c r="L29" s="51">
        <v>1</v>
      </c>
      <c r="M29" s="50">
        <f t="shared" si="1"/>
        <v>5</v>
      </c>
      <c r="N29" s="50">
        <v>10</v>
      </c>
      <c r="O29" s="65" t="s">
        <v>369</v>
      </c>
      <c r="P29" s="54">
        <v>6.5100000000000005E-2</v>
      </c>
      <c r="Q29" s="54">
        <f t="shared" si="2"/>
        <v>0.65100000000000002</v>
      </c>
      <c r="R29" s="52"/>
      <c r="S29" s="52"/>
    </row>
    <row r="30" spans="1:19" ht="15.75" thickBot="1" x14ac:dyDescent="0.3">
      <c r="A30" s="1"/>
      <c r="B30" s="38">
        <f t="shared" si="0"/>
        <v>21</v>
      </c>
      <c r="C30" s="59" t="s">
        <v>343</v>
      </c>
      <c r="D30" s="46" t="s">
        <v>26</v>
      </c>
      <c r="E30" s="47" t="s">
        <v>100</v>
      </c>
      <c r="F30" s="46" t="s">
        <v>162</v>
      </c>
      <c r="G30" s="47" t="s">
        <v>212</v>
      </c>
      <c r="H30" s="46" t="s">
        <v>268</v>
      </c>
      <c r="I30" s="46" t="s">
        <v>356</v>
      </c>
      <c r="J30" s="46" t="s">
        <v>384</v>
      </c>
      <c r="K30" s="46" t="s">
        <v>356</v>
      </c>
      <c r="L30" s="47">
        <v>1</v>
      </c>
      <c r="M30" s="46">
        <f t="shared" si="1"/>
        <v>5</v>
      </c>
      <c r="N30" s="46">
        <v>20</v>
      </c>
      <c r="O30" s="64" t="s">
        <v>369</v>
      </c>
      <c r="P30" s="53">
        <v>2.5499999999999998E-2</v>
      </c>
      <c r="Q30" s="53">
        <f t="shared" si="2"/>
        <v>0.51</v>
      </c>
      <c r="R30" s="48"/>
      <c r="S30" s="49"/>
    </row>
    <row r="31" spans="1:19" ht="15.75" thickBot="1" x14ac:dyDescent="0.3">
      <c r="A31" s="1"/>
      <c r="B31" s="38">
        <f>ROW(B31) - ROW($B$9)</f>
        <v>22</v>
      </c>
      <c r="C31" s="60" t="s">
        <v>344</v>
      </c>
      <c r="D31" s="50" t="s">
        <v>27</v>
      </c>
      <c r="E31" s="51" t="s">
        <v>101</v>
      </c>
      <c r="F31" s="50" t="s">
        <v>355</v>
      </c>
      <c r="G31" s="67" t="s">
        <v>164</v>
      </c>
      <c r="H31" s="50" t="s">
        <v>269</v>
      </c>
      <c r="I31" s="50" t="s">
        <v>434</v>
      </c>
      <c r="J31" s="50" t="s">
        <v>435</v>
      </c>
      <c r="K31" s="50" t="s">
        <v>356</v>
      </c>
      <c r="L31" s="51">
        <v>1</v>
      </c>
      <c r="M31" s="50">
        <f t="shared" si="1"/>
        <v>5</v>
      </c>
      <c r="N31" s="50">
        <v>10</v>
      </c>
      <c r="O31" s="65" t="s">
        <v>369</v>
      </c>
      <c r="P31" s="54">
        <v>0.1207</v>
      </c>
      <c r="Q31" s="54">
        <f t="shared" si="2"/>
        <v>1.2070000000000001</v>
      </c>
      <c r="R31" s="52"/>
      <c r="S31" s="52"/>
    </row>
    <row r="32" spans="1:19" ht="15.75" thickBot="1" x14ac:dyDescent="0.3">
      <c r="A32" s="1"/>
      <c r="B32" s="38">
        <f t="shared" si="0"/>
        <v>23</v>
      </c>
      <c r="C32" s="59" t="s">
        <v>344</v>
      </c>
      <c r="D32" s="46" t="s">
        <v>28</v>
      </c>
      <c r="E32" s="47" t="s">
        <v>101</v>
      </c>
      <c r="F32" s="46" t="s">
        <v>355</v>
      </c>
      <c r="G32" s="66" t="s">
        <v>165</v>
      </c>
      <c r="H32" s="46" t="s">
        <v>269</v>
      </c>
      <c r="I32" s="46" t="s">
        <v>436</v>
      </c>
      <c r="J32" s="46" t="s">
        <v>437</v>
      </c>
      <c r="K32" s="46" t="s">
        <v>356</v>
      </c>
      <c r="L32" s="47">
        <v>1</v>
      </c>
      <c r="M32" s="46">
        <f t="shared" si="1"/>
        <v>5</v>
      </c>
      <c r="N32" s="46">
        <v>10</v>
      </c>
      <c r="O32" s="64" t="s">
        <v>369</v>
      </c>
      <c r="P32" s="53">
        <v>7.0300000000000001E-2</v>
      </c>
      <c r="Q32" s="53">
        <f t="shared" si="2"/>
        <v>0.70300000000000007</v>
      </c>
      <c r="R32" s="48"/>
      <c r="S32" s="49"/>
    </row>
    <row r="33" spans="1:19" ht="15.75" thickBot="1" x14ac:dyDescent="0.3">
      <c r="A33" s="1"/>
      <c r="B33" s="38">
        <f>ROW(B33) - ROW($B$9)</f>
        <v>24</v>
      </c>
      <c r="C33" s="60" t="s">
        <v>345</v>
      </c>
      <c r="D33" s="50" t="s">
        <v>29</v>
      </c>
      <c r="E33" s="51" t="s">
        <v>102</v>
      </c>
      <c r="F33" s="50" t="s">
        <v>355</v>
      </c>
      <c r="G33" s="50" t="s">
        <v>213</v>
      </c>
      <c r="H33" s="50" t="s">
        <v>270</v>
      </c>
      <c r="I33" s="50" t="s">
        <v>356</v>
      </c>
      <c r="J33" s="50" t="s">
        <v>385</v>
      </c>
      <c r="K33" s="50" t="s">
        <v>356</v>
      </c>
      <c r="L33" s="51">
        <v>1</v>
      </c>
      <c r="M33" s="50">
        <f t="shared" si="1"/>
        <v>5</v>
      </c>
      <c r="N33" s="50">
        <v>10</v>
      </c>
      <c r="O33" s="65" t="s">
        <v>369</v>
      </c>
      <c r="P33" s="54">
        <v>8.8400000000000006E-2</v>
      </c>
      <c r="Q33" s="54">
        <f t="shared" si="2"/>
        <v>0.88400000000000012</v>
      </c>
      <c r="R33" s="52"/>
      <c r="S33" s="52"/>
    </row>
    <row r="34" spans="1:19" ht="15.75" thickBot="1" x14ac:dyDescent="0.3">
      <c r="A34" s="1"/>
      <c r="B34" s="38">
        <f t="shared" si="0"/>
        <v>25</v>
      </c>
      <c r="C34" s="59" t="s">
        <v>346</v>
      </c>
      <c r="D34" s="46" t="s">
        <v>30</v>
      </c>
      <c r="E34" s="47" t="s">
        <v>103</v>
      </c>
      <c r="F34" s="46" t="s">
        <v>355</v>
      </c>
      <c r="G34" s="47" t="s">
        <v>166</v>
      </c>
      <c r="H34" s="46" t="s">
        <v>271</v>
      </c>
      <c r="I34" s="46" t="s">
        <v>356</v>
      </c>
      <c r="J34" s="46" t="s">
        <v>386</v>
      </c>
      <c r="K34" s="46" t="s">
        <v>356</v>
      </c>
      <c r="L34" s="47">
        <v>1</v>
      </c>
      <c r="M34" s="46">
        <f t="shared" si="1"/>
        <v>5</v>
      </c>
      <c r="N34" s="46">
        <v>10</v>
      </c>
      <c r="O34" s="64" t="s">
        <v>369</v>
      </c>
      <c r="P34" s="53">
        <v>6.0900000000000003E-2</v>
      </c>
      <c r="Q34" s="53">
        <f t="shared" si="2"/>
        <v>0.60899999999999999</v>
      </c>
      <c r="R34" s="48"/>
      <c r="S34" s="49"/>
    </row>
    <row r="35" spans="1:19" ht="15.75" thickBot="1" x14ac:dyDescent="0.3">
      <c r="A35" s="1"/>
      <c r="B35" s="38">
        <f>ROW(B35) - ROW($B$9)</f>
        <v>26</v>
      </c>
      <c r="C35" s="60" t="s">
        <v>347</v>
      </c>
      <c r="D35" s="50" t="s">
        <v>31</v>
      </c>
      <c r="E35" s="51" t="s">
        <v>104</v>
      </c>
      <c r="F35" s="50" t="s">
        <v>355</v>
      </c>
      <c r="G35" s="50" t="s">
        <v>167</v>
      </c>
      <c r="H35" s="50" t="s">
        <v>265</v>
      </c>
      <c r="I35" s="50" t="s">
        <v>356</v>
      </c>
      <c r="J35" s="50" t="s">
        <v>387</v>
      </c>
      <c r="K35" s="50" t="s">
        <v>313</v>
      </c>
      <c r="L35" s="51">
        <v>1</v>
      </c>
      <c r="M35" s="50">
        <f t="shared" si="1"/>
        <v>5</v>
      </c>
      <c r="N35" s="50">
        <v>6</v>
      </c>
      <c r="O35" s="65" t="s">
        <v>369</v>
      </c>
      <c r="P35" s="54">
        <v>0.754</v>
      </c>
      <c r="Q35" s="54">
        <f t="shared" si="2"/>
        <v>4.524</v>
      </c>
      <c r="R35" s="52"/>
      <c r="S35" s="52"/>
    </row>
    <row r="36" spans="1:19" ht="24.75" thickBot="1" x14ac:dyDescent="0.3">
      <c r="A36" s="1"/>
      <c r="B36" s="38">
        <f t="shared" si="0"/>
        <v>27</v>
      </c>
      <c r="C36" s="59" t="s">
        <v>347</v>
      </c>
      <c r="D36" s="46" t="s">
        <v>32</v>
      </c>
      <c r="E36" s="47" t="s">
        <v>105</v>
      </c>
      <c r="F36" s="46" t="s">
        <v>168</v>
      </c>
      <c r="G36" s="47" t="s">
        <v>214</v>
      </c>
      <c r="H36" s="46" t="s">
        <v>262</v>
      </c>
      <c r="I36" s="46" t="s">
        <v>356</v>
      </c>
      <c r="J36" s="46" t="s">
        <v>388</v>
      </c>
      <c r="K36" s="46" t="s">
        <v>314</v>
      </c>
      <c r="L36" s="47">
        <v>1</v>
      </c>
      <c r="M36" s="46">
        <f t="shared" si="1"/>
        <v>5</v>
      </c>
      <c r="N36" s="46">
        <v>10</v>
      </c>
      <c r="O36" s="64" t="s">
        <v>369</v>
      </c>
      <c r="P36" s="53">
        <v>8.3299999999999999E-2</v>
      </c>
      <c r="Q36" s="53">
        <f t="shared" si="2"/>
        <v>0.83299999999999996</v>
      </c>
      <c r="R36" s="48"/>
      <c r="S36" s="49"/>
    </row>
    <row r="37" spans="1:19" ht="36.75" thickBot="1" x14ac:dyDescent="0.3">
      <c r="A37" s="1"/>
      <c r="B37" s="38">
        <f>ROW(B37) - ROW($B$9)</f>
        <v>28</v>
      </c>
      <c r="C37" s="60" t="s">
        <v>347</v>
      </c>
      <c r="D37" s="50" t="s">
        <v>33</v>
      </c>
      <c r="E37" s="51" t="s">
        <v>106</v>
      </c>
      <c r="F37" s="50" t="s">
        <v>169</v>
      </c>
      <c r="G37" s="50" t="s">
        <v>215</v>
      </c>
      <c r="H37" s="50" t="s">
        <v>272</v>
      </c>
      <c r="I37" s="50" t="s">
        <v>356</v>
      </c>
      <c r="J37" s="50" t="s">
        <v>389</v>
      </c>
      <c r="K37" s="50" t="s">
        <v>315</v>
      </c>
      <c r="L37" s="51">
        <v>1</v>
      </c>
      <c r="M37" s="50">
        <f t="shared" si="1"/>
        <v>5</v>
      </c>
      <c r="N37" s="50">
        <v>10</v>
      </c>
      <c r="O37" s="65" t="s">
        <v>369</v>
      </c>
      <c r="P37" s="54">
        <v>2.7300000000000001E-2</v>
      </c>
      <c r="Q37" s="54">
        <f t="shared" si="2"/>
        <v>0.27300000000000002</v>
      </c>
      <c r="R37" s="52"/>
      <c r="S37" s="52"/>
    </row>
    <row r="38" spans="1:19" ht="24.75" thickBot="1" x14ac:dyDescent="0.3">
      <c r="A38" s="1"/>
      <c r="B38" s="38">
        <f t="shared" si="0"/>
        <v>29</v>
      </c>
      <c r="C38" s="59" t="s">
        <v>348</v>
      </c>
      <c r="D38" s="46" t="s">
        <v>34</v>
      </c>
      <c r="E38" s="47" t="s">
        <v>107</v>
      </c>
      <c r="F38" s="46" t="s">
        <v>170</v>
      </c>
      <c r="G38" s="66" t="s">
        <v>216</v>
      </c>
      <c r="H38" s="46" t="s">
        <v>273</v>
      </c>
      <c r="I38" s="46" t="s">
        <v>441</v>
      </c>
      <c r="J38" s="46" t="s">
        <v>440</v>
      </c>
      <c r="K38" s="46" t="s">
        <v>316</v>
      </c>
      <c r="L38" s="47">
        <v>8</v>
      </c>
      <c r="M38" s="46">
        <f t="shared" si="1"/>
        <v>40</v>
      </c>
      <c r="N38" s="46">
        <v>50</v>
      </c>
      <c r="O38" s="64" t="s">
        <v>369</v>
      </c>
      <c r="P38" s="53">
        <v>1.5900000000000001E-2</v>
      </c>
      <c r="Q38" s="53">
        <f t="shared" si="2"/>
        <v>0.79500000000000004</v>
      </c>
      <c r="R38" s="48"/>
      <c r="S38" s="49"/>
    </row>
    <row r="39" spans="1:19" ht="15.75" thickBot="1" x14ac:dyDescent="0.3">
      <c r="A39" s="1"/>
      <c r="B39" s="38">
        <f>ROW(B39) - ROW($B$9)</f>
        <v>30</v>
      </c>
      <c r="C39" s="60" t="s">
        <v>348</v>
      </c>
      <c r="D39" s="50" t="s">
        <v>35</v>
      </c>
      <c r="E39" s="51" t="s">
        <v>108</v>
      </c>
      <c r="F39" s="50" t="s">
        <v>170</v>
      </c>
      <c r="G39" s="67" t="s">
        <v>217</v>
      </c>
      <c r="H39" s="50" t="s">
        <v>273</v>
      </c>
      <c r="I39" s="50" t="s">
        <v>438</v>
      </c>
      <c r="J39" s="50" t="s">
        <v>439</v>
      </c>
      <c r="K39" s="50" t="s">
        <v>317</v>
      </c>
      <c r="L39" s="51">
        <v>1</v>
      </c>
      <c r="M39" s="50">
        <f t="shared" si="1"/>
        <v>5</v>
      </c>
      <c r="N39" s="50">
        <v>10</v>
      </c>
      <c r="O39" s="65" t="s">
        <v>369</v>
      </c>
      <c r="P39" s="54">
        <v>3.9199999999999999E-2</v>
      </c>
      <c r="Q39" s="54">
        <f t="shared" si="2"/>
        <v>0.39200000000000002</v>
      </c>
      <c r="R39" s="52"/>
      <c r="S39" s="52"/>
    </row>
    <row r="40" spans="1:19" ht="24.75" thickBot="1" x14ac:dyDescent="0.3">
      <c r="A40" s="1"/>
      <c r="B40" s="38">
        <f t="shared" si="0"/>
        <v>31</v>
      </c>
      <c r="C40" s="59" t="s">
        <v>349</v>
      </c>
      <c r="D40" s="46" t="s">
        <v>36</v>
      </c>
      <c r="E40" s="47" t="s">
        <v>109</v>
      </c>
      <c r="F40" s="46" t="s">
        <v>355</v>
      </c>
      <c r="G40" s="47" t="s">
        <v>171</v>
      </c>
      <c r="H40" s="46" t="s">
        <v>274</v>
      </c>
      <c r="I40" s="46" t="s">
        <v>356</v>
      </c>
      <c r="J40" s="46" t="s">
        <v>390</v>
      </c>
      <c r="K40" s="46" t="s">
        <v>356</v>
      </c>
      <c r="L40" s="47">
        <v>1</v>
      </c>
      <c r="M40" s="46">
        <f t="shared" si="1"/>
        <v>5</v>
      </c>
      <c r="N40" s="46">
        <v>6</v>
      </c>
      <c r="O40" s="64" t="s">
        <v>369</v>
      </c>
      <c r="P40" s="53">
        <v>0.48880000000000001</v>
      </c>
      <c r="Q40" s="53">
        <f t="shared" si="2"/>
        <v>2.9328000000000003</v>
      </c>
      <c r="R40" s="48"/>
      <c r="S40" s="49"/>
    </row>
    <row r="41" spans="1:19" ht="15.75" thickBot="1" x14ac:dyDescent="0.3">
      <c r="A41" s="1"/>
      <c r="B41" s="38">
        <f>ROW(B41) - ROW($B$9)</f>
        <v>32</v>
      </c>
      <c r="C41" s="60" t="s">
        <v>350</v>
      </c>
      <c r="D41" s="50" t="s">
        <v>37</v>
      </c>
      <c r="E41" s="51" t="s">
        <v>110</v>
      </c>
      <c r="F41" s="50" t="s">
        <v>172</v>
      </c>
      <c r="G41" s="67" t="s">
        <v>218</v>
      </c>
      <c r="H41" s="50" t="s">
        <v>275</v>
      </c>
      <c r="I41" s="50" t="s">
        <v>442</v>
      </c>
      <c r="J41" s="50" t="s">
        <v>443</v>
      </c>
      <c r="K41" s="50" t="s">
        <v>356</v>
      </c>
      <c r="L41" s="51">
        <v>1</v>
      </c>
      <c r="M41" s="50">
        <f t="shared" si="1"/>
        <v>5</v>
      </c>
      <c r="N41" s="50">
        <v>20</v>
      </c>
      <c r="O41" s="65" t="s">
        <v>369</v>
      </c>
      <c r="P41" s="54">
        <v>3.2599999999999997E-2</v>
      </c>
      <c r="Q41" s="54">
        <f t="shared" si="2"/>
        <v>0.65199999999999991</v>
      </c>
      <c r="R41" s="52"/>
      <c r="S41" s="52"/>
    </row>
    <row r="42" spans="1:19" ht="48.75" thickBot="1" x14ac:dyDescent="0.3">
      <c r="A42" s="1"/>
      <c r="B42" s="38">
        <f t="shared" si="0"/>
        <v>33</v>
      </c>
      <c r="C42" s="59" t="s">
        <v>346</v>
      </c>
      <c r="D42" s="46" t="s">
        <v>38</v>
      </c>
      <c r="E42" s="47" t="s">
        <v>111</v>
      </c>
      <c r="F42" s="46" t="s">
        <v>355</v>
      </c>
      <c r="G42" s="47" t="s">
        <v>173</v>
      </c>
      <c r="H42" s="46" t="s">
        <v>276</v>
      </c>
      <c r="I42" s="46" t="s">
        <v>356</v>
      </c>
      <c r="J42" s="46" t="s">
        <v>391</v>
      </c>
      <c r="K42" s="46" t="s">
        <v>356</v>
      </c>
      <c r="L42" s="47">
        <v>1</v>
      </c>
      <c r="M42" s="46">
        <f t="shared" si="1"/>
        <v>5</v>
      </c>
      <c r="N42" s="46">
        <v>10</v>
      </c>
      <c r="O42" s="64" t="s">
        <v>369</v>
      </c>
      <c r="P42" s="53">
        <v>5.8099999999999999E-2</v>
      </c>
      <c r="Q42" s="53">
        <f t="shared" si="2"/>
        <v>0.58099999999999996</v>
      </c>
      <c r="R42" s="48"/>
      <c r="S42" s="49"/>
    </row>
    <row r="43" spans="1:19" ht="15.75" thickBot="1" x14ac:dyDescent="0.3">
      <c r="A43" s="1"/>
      <c r="B43" s="38">
        <f>ROW(B43) - ROW($B$9)</f>
        <v>34</v>
      </c>
      <c r="C43" s="60" t="s">
        <v>350</v>
      </c>
      <c r="D43" s="50" t="s">
        <v>39</v>
      </c>
      <c r="E43" s="51" t="s">
        <v>112</v>
      </c>
      <c r="F43" s="50" t="s">
        <v>174</v>
      </c>
      <c r="G43" s="67">
        <v>61300611121</v>
      </c>
      <c r="H43" s="50" t="s">
        <v>277</v>
      </c>
      <c r="I43" s="50" t="s">
        <v>444</v>
      </c>
      <c r="J43" s="50" t="s">
        <v>445</v>
      </c>
      <c r="K43" s="50" t="s">
        <v>356</v>
      </c>
      <c r="L43" s="51">
        <v>1</v>
      </c>
      <c r="M43" s="50">
        <f t="shared" si="1"/>
        <v>5</v>
      </c>
      <c r="N43" s="50">
        <v>20</v>
      </c>
      <c r="O43" s="65" t="s">
        <v>369</v>
      </c>
      <c r="P43" s="54">
        <v>3.5499999999999997E-2</v>
      </c>
      <c r="Q43" s="54">
        <f t="shared" si="2"/>
        <v>0.71</v>
      </c>
      <c r="R43" s="52"/>
      <c r="S43" s="52"/>
    </row>
    <row r="44" spans="1:19" ht="15.75" thickBot="1" x14ac:dyDescent="0.3">
      <c r="A44" s="1"/>
      <c r="B44" s="38">
        <f t="shared" si="0"/>
        <v>35</v>
      </c>
      <c r="C44" s="59" t="s">
        <v>318</v>
      </c>
      <c r="D44" s="46" t="s">
        <v>40</v>
      </c>
      <c r="E44" s="47" t="s">
        <v>113</v>
      </c>
      <c r="F44" s="46" t="s">
        <v>175</v>
      </c>
      <c r="G44" s="47" t="s">
        <v>356</v>
      </c>
      <c r="H44" s="46"/>
      <c r="I44" s="46"/>
      <c r="J44" s="46"/>
      <c r="K44" s="46" t="s">
        <v>356</v>
      </c>
      <c r="L44" s="47">
        <v>2</v>
      </c>
      <c r="M44" s="46">
        <f t="shared" si="1"/>
        <v>10</v>
      </c>
      <c r="N44" s="46"/>
      <c r="O44" s="64"/>
      <c r="P44" s="53"/>
      <c r="Q44" s="53">
        <f t="shared" si="2"/>
        <v>0</v>
      </c>
      <c r="R44" s="48"/>
      <c r="S44" s="49"/>
    </row>
    <row r="45" spans="1:19" ht="15.75" thickBot="1" x14ac:dyDescent="0.3">
      <c r="A45" s="1"/>
      <c r="B45" s="38">
        <f>ROW(B45) - ROW($B$9)</f>
        <v>36</v>
      </c>
      <c r="C45" s="60" t="s">
        <v>351</v>
      </c>
      <c r="D45" s="50" t="s">
        <v>41</v>
      </c>
      <c r="E45" s="51" t="s">
        <v>114</v>
      </c>
      <c r="F45" s="50" t="s">
        <v>176</v>
      </c>
      <c r="G45" s="50" t="s">
        <v>219</v>
      </c>
      <c r="H45" s="50" t="s">
        <v>278</v>
      </c>
      <c r="I45" s="50" t="s">
        <v>356</v>
      </c>
      <c r="J45" s="50" t="s">
        <v>392</v>
      </c>
      <c r="K45" s="50" t="s">
        <v>356</v>
      </c>
      <c r="L45" s="51">
        <v>6</v>
      </c>
      <c r="M45" s="50">
        <f t="shared" si="1"/>
        <v>30</v>
      </c>
      <c r="N45" s="50">
        <v>40</v>
      </c>
      <c r="O45" s="65" t="s">
        <v>369</v>
      </c>
      <c r="P45" s="54">
        <v>2.9600000000000001E-2</v>
      </c>
      <c r="Q45" s="54">
        <f t="shared" si="2"/>
        <v>1.1840000000000002</v>
      </c>
      <c r="R45" s="52"/>
      <c r="S45" s="52"/>
    </row>
    <row r="46" spans="1:19" ht="15.75" thickBot="1" x14ac:dyDescent="0.3">
      <c r="A46" s="1"/>
      <c r="B46" s="38">
        <f t="shared" si="0"/>
        <v>37</v>
      </c>
      <c r="C46" s="59" t="s">
        <v>351</v>
      </c>
      <c r="D46" s="46" t="s">
        <v>42</v>
      </c>
      <c r="E46" s="47" t="s">
        <v>115</v>
      </c>
      <c r="F46" s="46" t="s">
        <v>177</v>
      </c>
      <c r="G46" s="47" t="s">
        <v>220</v>
      </c>
      <c r="H46" s="46" t="s">
        <v>279</v>
      </c>
      <c r="I46" s="46" t="s">
        <v>356</v>
      </c>
      <c r="J46" s="46" t="s">
        <v>393</v>
      </c>
      <c r="K46" s="46" t="s">
        <v>356</v>
      </c>
      <c r="L46" s="47">
        <v>4</v>
      </c>
      <c r="M46" s="46">
        <f t="shared" si="1"/>
        <v>20</v>
      </c>
      <c r="N46" s="46">
        <v>22</v>
      </c>
      <c r="O46" s="64" t="s">
        <v>369</v>
      </c>
      <c r="P46" s="53">
        <v>1.4046000000000001</v>
      </c>
      <c r="Q46" s="53">
        <f t="shared" si="2"/>
        <v>30.901200000000003</v>
      </c>
      <c r="R46" s="48"/>
      <c r="S46" s="49"/>
    </row>
    <row r="47" spans="1:19" ht="36.75" thickBot="1" x14ac:dyDescent="0.3">
      <c r="A47" s="1"/>
      <c r="B47" s="38">
        <f>ROW(B47) - ROW($B$9)</f>
        <v>38</v>
      </c>
      <c r="C47" s="60" t="s">
        <v>351</v>
      </c>
      <c r="D47" s="50" t="s">
        <v>43</v>
      </c>
      <c r="E47" s="51" t="s">
        <v>116</v>
      </c>
      <c r="F47" s="50" t="s">
        <v>357</v>
      </c>
      <c r="G47" s="50" t="s">
        <v>178</v>
      </c>
      <c r="H47" s="50" t="s">
        <v>280</v>
      </c>
      <c r="I47" s="50" t="s">
        <v>356</v>
      </c>
      <c r="J47" s="50" t="s">
        <v>394</v>
      </c>
      <c r="K47" s="50" t="s">
        <v>356</v>
      </c>
      <c r="L47" s="51">
        <v>1</v>
      </c>
      <c r="M47" s="50">
        <f t="shared" si="1"/>
        <v>5</v>
      </c>
      <c r="N47" s="50">
        <v>6</v>
      </c>
      <c r="O47" s="65" t="s">
        <v>369</v>
      </c>
      <c r="P47" s="54">
        <v>0.4355</v>
      </c>
      <c r="Q47" s="54">
        <f t="shared" si="2"/>
        <v>2.613</v>
      </c>
      <c r="R47" s="52"/>
      <c r="S47" s="52"/>
    </row>
    <row r="48" spans="1:19" ht="15.75" thickBot="1" x14ac:dyDescent="0.3">
      <c r="A48" s="1"/>
      <c r="B48" s="38">
        <f t="shared" si="0"/>
        <v>39</v>
      </c>
      <c r="C48" s="59" t="s">
        <v>285</v>
      </c>
      <c r="D48" s="46" t="s">
        <v>44</v>
      </c>
      <c r="E48" s="47" t="s">
        <v>117</v>
      </c>
      <c r="F48" s="46" t="s">
        <v>179</v>
      </c>
      <c r="G48" s="47" t="s">
        <v>221</v>
      </c>
      <c r="H48" s="46" t="s">
        <v>256</v>
      </c>
      <c r="I48" s="46" t="s">
        <v>356</v>
      </c>
      <c r="J48" s="46" t="s">
        <v>395</v>
      </c>
      <c r="K48" s="46" t="s">
        <v>319</v>
      </c>
      <c r="L48" s="47">
        <v>1</v>
      </c>
      <c r="M48" s="46">
        <f t="shared" si="1"/>
        <v>5</v>
      </c>
      <c r="N48" s="46">
        <v>100</v>
      </c>
      <c r="O48" s="64" t="s">
        <v>369</v>
      </c>
      <c r="P48" s="53">
        <v>1.4E-3</v>
      </c>
      <c r="Q48" s="53">
        <f t="shared" si="2"/>
        <v>0.13999999999999999</v>
      </c>
      <c r="R48" s="48"/>
      <c r="S48" s="49"/>
    </row>
    <row r="49" spans="1:19" ht="24.75" thickBot="1" x14ac:dyDescent="0.3">
      <c r="A49" s="1"/>
      <c r="B49" s="38">
        <f>ROW(B49) - ROW($B$9)</f>
        <v>40</v>
      </c>
      <c r="C49" s="60" t="s">
        <v>285</v>
      </c>
      <c r="D49" s="50" t="s">
        <v>45</v>
      </c>
      <c r="E49" s="51" t="s">
        <v>118</v>
      </c>
      <c r="F49" s="50" t="s">
        <v>179</v>
      </c>
      <c r="G49" s="50" t="s">
        <v>222</v>
      </c>
      <c r="H49" s="50" t="s">
        <v>281</v>
      </c>
      <c r="I49" s="50" t="s">
        <v>356</v>
      </c>
      <c r="J49" s="50" t="s">
        <v>396</v>
      </c>
      <c r="K49" s="50" t="s">
        <v>320</v>
      </c>
      <c r="L49" s="51">
        <v>1</v>
      </c>
      <c r="M49" s="50">
        <f t="shared" si="1"/>
        <v>5</v>
      </c>
      <c r="N49" s="50">
        <v>20</v>
      </c>
      <c r="O49" s="65" t="s">
        <v>369</v>
      </c>
      <c r="P49" s="54">
        <v>2.8000000000000001E-2</v>
      </c>
      <c r="Q49" s="54">
        <f t="shared" si="2"/>
        <v>0.56000000000000005</v>
      </c>
      <c r="R49" s="52"/>
      <c r="S49" s="52"/>
    </row>
    <row r="50" spans="1:19" ht="15.75" thickBot="1" x14ac:dyDescent="0.3">
      <c r="A50" s="1"/>
      <c r="B50" s="38">
        <f t="shared" si="0"/>
        <v>41</v>
      </c>
      <c r="C50" s="59" t="s">
        <v>285</v>
      </c>
      <c r="D50" s="46" t="s">
        <v>46</v>
      </c>
      <c r="E50" s="47" t="s">
        <v>119</v>
      </c>
      <c r="F50" s="46" t="s">
        <v>179</v>
      </c>
      <c r="G50" s="47" t="s">
        <v>223</v>
      </c>
      <c r="H50" s="46" t="s">
        <v>256</v>
      </c>
      <c r="I50" s="46" t="s">
        <v>356</v>
      </c>
      <c r="J50" s="46" t="s">
        <v>397</v>
      </c>
      <c r="K50" s="46" t="s">
        <v>321</v>
      </c>
      <c r="L50" s="47">
        <v>2</v>
      </c>
      <c r="M50" s="46">
        <f t="shared" si="1"/>
        <v>10</v>
      </c>
      <c r="N50" s="46">
        <v>20</v>
      </c>
      <c r="O50" s="64" t="s">
        <v>369</v>
      </c>
      <c r="P50" s="53">
        <v>3.0599999999999999E-2</v>
      </c>
      <c r="Q50" s="53">
        <f t="shared" si="2"/>
        <v>0.61199999999999999</v>
      </c>
      <c r="R50" s="48"/>
      <c r="S50" s="49"/>
    </row>
    <row r="51" spans="1:19" ht="24.75" thickBot="1" x14ac:dyDescent="0.3">
      <c r="A51" s="1"/>
      <c r="B51" s="38">
        <f t="shared" si="0"/>
        <v>42</v>
      </c>
      <c r="C51" s="60" t="s">
        <v>285</v>
      </c>
      <c r="D51" s="50" t="s">
        <v>447</v>
      </c>
      <c r="E51" s="51" t="s">
        <v>120</v>
      </c>
      <c r="F51" s="50" t="s">
        <v>180</v>
      </c>
      <c r="G51" s="50" t="s">
        <v>225</v>
      </c>
      <c r="H51" s="50" t="s">
        <v>256</v>
      </c>
      <c r="I51" s="50" t="s">
        <v>356</v>
      </c>
      <c r="J51" s="50" t="s">
        <v>398</v>
      </c>
      <c r="K51" s="50" t="s">
        <v>322</v>
      </c>
      <c r="L51" s="51">
        <v>1</v>
      </c>
      <c r="M51" s="50">
        <f t="shared" si="1"/>
        <v>5</v>
      </c>
      <c r="N51" s="50">
        <v>100</v>
      </c>
      <c r="O51" s="65" t="s">
        <v>369</v>
      </c>
      <c r="P51" s="54">
        <v>1E-3</v>
      </c>
      <c r="Q51" s="54">
        <f t="shared" si="2"/>
        <v>0.1</v>
      </c>
      <c r="R51" s="52"/>
      <c r="S51" s="52"/>
    </row>
    <row r="52" spans="1:19" ht="15.75" thickBot="1" x14ac:dyDescent="0.3">
      <c r="A52" s="1"/>
      <c r="B52" s="38">
        <f>ROW(B52) - ROW($B$9)</f>
        <v>43</v>
      </c>
      <c r="C52" s="59" t="s">
        <v>285</v>
      </c>
      <c r="D52" s="46" t="s">
        <v>47</v>
      </c>
      <c r="E52" s="47" t="s">
        <v>121</v>
      </c>
      <c r="F52" s="46" t="s">
        <v>179</v>
      </c>
      <c r="G52" s="47" t="s">
        <v>226</v>
      </c>
      <c r="H52" s="46" t="s">
        <v>256</v>
      </c>
      <c r="I52" s="46" t="s">
        <v>356</v>
      </c>
      <c r="J52" s="46" t="s">
        <v>399</v>
      </c>
      <c r="K52" s="46" t="s">
        <v>323</v>
      </c>
      <c r="L52" s="47">
        <v>7</v>
      </c>
      <c r="M52" s="46">
        <f t="shared" si="1"/>
        <v>35</v>
      </c>
      <c r="N52" s="46">
        <v>100</v>
      </c>
      <c r="O52" s="64" t="s">
        <v>369</v>
      </c>
      <c r="P52" s="53">
        <v>1.6999999999999999E-3</v>
      </c>
      <c r="Q52" s="53">
        <f t="shared" si="2"/>
        <v>0.16999999999999998</v>
      </c>
      <c r="R52" s="48"/>
      <c r="S52" s="49"/>
    </row>
    <row r="53" spans="1:19" ht="15.75" thickBot="1" x14ac:dyDescent="0.3">
      <c r="A53" s="1"/>
      <c r="B53" s="38">
        <f t="shared" si="0"/>
        <v>44</v>
      </c>
      <c r="C53" s="60" t="s">
        <v>285</v>
      </c>
      <c r="D53" s="50" t="s">
        <v>48</v>
      </c>
      <c r="E53" s="51" t="s">
        <v>122</v>
      </c>
      <c r="F53" s="50" t="s">
        <v>179</v>
      </c>
      <c r="G53" s="50" t="s">
        <v>227</v>
      </c>
      <c r="H53" s="50" t="s">
        <v>282</v>
      </c>
      <c r="I53" s="50"/>
      <c r="J53" s="50"/>
      <c r="K53" s="50" t="s">
        <v>324</v>
      </c>
      <c r="L53" s="51">
        <v>1</v>
      </c>
      <c r="M53" s="50">
        <f t="shared" si="1"/>
        <v>5</v>
      </c>
      <c r="N53" s="50"/>
      <c r="O53" s="65"/>
      <c r="P53" s="54"/>
      <c r="Q53" s="54">
        <f t="shared" si="2"/>
        <v>0</v>
      </c>
      <c r="R53" s="52"/>
      <c r="S53" s="52"/>
    </row>
    <row r="54" spans="1:19" ht="15.75" thickBot="1" x14ac:dyDescent="0.3">
      <c r="A54" s="1"/>
      <c r="B54" s="38">
        <f>ROW(B54) - ROW($B$9)</f>
        <v>45</v>
      </c>
      <c r="C54" s="59" t="s">
        <v>285</v>
      </c>
      <c r="D54" s="46" t="s">
        <v>49</v>
      </c>
      <c r="E54" s="47" t="s">
        <v>123</v>
      </c>
      <c r="F54" s="46" t="s">
        <v>180</v>
      </c>
      <c r="G54" s="47" t="s">
        <v>228</v>
      </c>
      <c r="H54" s="46" t="s">
        <v>256</v>
      </c>
      <c r="I54" s="46" t="s">
        <v>356</v>
      </c>
      <c r="J54" s="46" t="s">
        <v>400</v>
      </c>
      <c r="K54" s="46" t="s">
        <v>325</v>
      </c>
      <c r="L54" s="47">
        <v>1</v>
      </c>
      <c r="M54" s="46">
        <f t="shared" si="1"/>
        <v>5</v>
      </c>
      <c r="N54" s="46">
        <v>100</v>
      </c>
      <c r="O54" s="64" t="s">
        <v>369</v>
      </c>
      <c r="P54" s="53">
        <v>1.2999999999999999E-3</v>
      </c>
      <c r="Q54" s="53">
        <f t="shared" si="2"/>
        <v>0.13</v>
      </c>
      <c r="R54" s="48"/>
      <c r="S54" s="49"/>
    </row>
    <row r="55" spans="1:19" ht="15.75" thickBot="1" x14ac:dyDescent="0.3">
      <c r="A55" s="1"/>
      <c r="B55" s="38">
        <f t="shared" si="0"/>
        <v>46</v>
      </c>
      <c r="C55" s="60" t="s">
        <v>285</v>
      </c>
      <c r="D55" s="50" t="s">
        <v>448</v>
      </c>
      <c r="E55" s="51" t="s">
        <v>124</v>
      </c>
      <c r="F55" s="50" t="s">
        <v>180</v>
      </c>
      <c r="G55" s="50" t="s">
        <v>229</v>
      </c>
      <c r="H55" s="50" t="s">
        <v>256</v>
      </c>
      <c r="I55" s="50" t="s">
        <v>356</v>
      </c>
      <c r="J55" s="50" t="s">
        <v>401</v>
      </c>
      <c r="K55" s="50" t="s">
        <v>326</v>
      </c>
      <c r="L55" s="51">
        <v>1</v>
      </c>
      <c r="M55" s="50">
        <f t="shared" si="1"/>
        <v>5</v>
      </c>
      <c r="N55" s="50">
        <v>100</v>
      </c>
      <c r="O55" s="65" t="s">
        <v>369</v>
      </c>
      <c r="P55" s="54">
        <v>1.1999999999999999E-3</v>
      </c>
      <c r="Q55" s="54">
        <f t="shared" si="2"/>
        <v>0.12</v>
      </c>
      <c r="R55" s="52"/>
      <c r="S55" s="52"/>
    </row>
    <row r="56" spans="1:19" ht="15.75" thickBot="1" x14ac:dyDescent="0.3">
      <c r="A56" s="1"/>
      <c r="B56" s="38">
        <f>ROW(B56) - ROW($B$9)</f>
        <v>47</v>
      </c>
      <c r="C56" s="59" t="s">
        <v>285</v>
      </c>
      <c r="D56" s="46" t="s">
        <v>50</v>
      </c>
      <c r="E56" s="47" t="s">
        <v>125</v>
      </c>
      <c r="F56" s="46" t="s">
        <v>180</v>
      </c>
      <c r="G56" s="47" t="s">
        <v>230</v>
      </c>
      <c r="H56" s="46" t="s">
        <v>256</v>
      </c>
      <c r="I56" s="46" t="s">
        <v>356</v>
      </c>
      <c r="J56" s="46" t="s">
        <v>402</v>
      </c>
      <c r="K56" s="46" t="s">
        <v>327</v>
      </c>
      <c r="L56" s="47">
        <v>1</v>
      </c>
      <c r="M56" s="46">
        <f t="shared" si="1"/>
        <v>5</v>
      </c>
      <c r="N56" s="46">
        <v>20</v>
      </c>
      <c r="O56" s="64" t="s">
        <v>369</v>
      </c>
      <c r="P56" s="53">
        <v>3.0300000000000001E-2</v>
      </c>
      <c r="Q56" s="53">
        <f t="shared" si="2"/>
        <v>0.60599999999999998</v>
      </c>
      <c r="R56" s="48"/>
      <c r="S56" s="49"/>
    </row>
    <row r="57" spans="1:19" ht="24.75" thickBot="1" x14ac:dyDescent="0.3">
      <c r="A57" s="1"/>
      <c r="B57" s="38">
        <f t="shared" si="0"/>
        <v>48</v>
      </c>
      <c r="C57" s="60" t="s">
        <v>285</v>
      </c>
      <c r="D57" s="50" t="s">
        <v>51</v>
      </c>
      <c r="E57" s="51" t="s">
        <v>126</v>
      </c>
      <c r="F57" s="50" t="s">
        <v>180</v>
      </c>
      <c r="G57" s="50" t="s">
        <v>231</v>
      </c>
      <c r="H57" s="50" t="s">
        <v>256</v>
      </c>
      <c r="I57" s="50" t="s">
        <v>356</v>
      </c>
      <c r="J57" s="50" t="s">
        <v>403</v>
      </c>
      <c r="K57" s="50" t="s">
        <v>328</v>
      </c>
      <c r="L57" s="51">
        <v>8</v>
      </c>
      <c r="M57" s="50">
        <f t="shared" si="1"/>
        <v>40</v>
      </c>
      <c r="N57" s="50">
        <v>100</v>
      </c>
      <c r="O57" s="65" t="s">
        <v>369</v>
      </c>
      <c r="P57" s="54">
        <v>1.1999999999999999E-3</v>
      </c>
      <c r="Q57" s="54">
        <f t="shared" si="2"/>
        <v>0.12</v>
      </c>
      <c r="R57" s="52"/>
      <c r="S57" s="52"/>
    </row>
    <row r="58" spans="1:19" ht="24.75" thickBot="1" x14ac:dyDescent="0.3">
      <c r="A58" s="1"/>
      <c r="B58" s="38">
        <f>ROW(B58) - ROW($B$9)</f>
        <v>49</v>
      </c>
      <c r="C58" s="59" t="s">
        <v>285</v>
      </c>
      <c r="D58" s="46" t="s">
        <v>52</v>
      </c>
      <c r="E58" s="47" t="s">
        <v>127</v>
      </c>
      <c r="F58" s="46" t="s">
        <v>355</v>
      </c>
      <c r="G58" s="47" t="s">
        <v>181</v>
      </c>
      <c r="H58" s="46" t="s">
        <v>283</v>
      </c>
      <c r="I58" s="46" t="s">
        <v>356</v>
      </c>
      <c r="J58" s="46" t="s">
        <v>404</v>
      </c>
      <c r="K58" s="46" t="s">
        <v>329</v>
      </c>
      <c r="L58" s="47">
        <v>1</v>
      </c>
      <c r="M58" s="46">
        <f t="shared" si="1"/>
        <v>5</v>
      </c>
      <c r="N58" s="46">
        <v>10</v>
      </c>
      <c r="O58" s="64" t="s">
        <v>369</v>
      </c>
      <c r="P58" s="53">
        <v>8.3900000000000002E-2</v>
      </c>
      <c r="Q58" s="53">
        <f t="shared" si="2"/>
        <v>0.83899999999999997</v>
      </c>
      <c r="R58" s="48"/>
      <c r="S58" s="49"/>
    </row>
    <row r="59" spans="1:19" ht="15.75" thickBot="1" x14ac:dyDescent="0.3">
      <c r="A59" s="1"/>
      <c r="B59" s="38">
        <f t="shared" si="0"/>
        <v>50</v>
      </c>
      <c r="C59" s="60" t="s">
        <v>285</v>
      </c>
      <c r="D59" s="50" t="s">
        <v>53</v>
      </c>
      <c r="E59" s="51" t="s">
        <v>128</v>
      </c>
      <c r="F59" s="50" t="s">
        <v>179</v>
      </c>
      <c r="G59" s="50" t="s">
        <v>232</v>
      </c>
      <c r="H59" s="50" t="s">
        <v>284</v>
      </c>
      <c r="I59" s="50" t="s">
        <v>356</v>
      </c>
      <c r="J59" s="50" t="s">
        <v>405</v>
      </c>
      <c r="K59" s="50" t="s">
        <v>329</v>
      </c>
      <c r="L59" s="51">
        <v>3</v>
      </c>
      <c r="M59" s="50">
        <f t="shared" si="1"/>
        <v>15</v>
      </c>
      <c r="N59" s="50">
        <v>100</v>
      </c>
      <c r="O59" s="65" t="s">
        <v>369</v>
      </c>
      <c r="P59" s="54">
        <v>1.2999999999999999E-3</v>
      </c>
      <c r="Q59" s="54">
        <f t="shared" si="2"/>
        <v>0.13</v>
      </c>
      <c r="R59" s="52"/>
      <c r="S59" s="52"/>
    </row>
    <row r="60" spans="1:19" ht="24.75" thickBot="1" x14ac:dyDescent="0.3">
      <c r="A60" s="1"/>
      <c r="B60" s="38">
        <f>ROW(B60) - ROW($B$9)</f>
        <v>51</v>
      </c>
      <c r="C60" s="59" t="s">
        <v>285</v>
      </c>
      <c r="D60" s="46" t="s">
        <v>54</v>
      </c>
      <c r="E60" s="47" t="s">
        <v>129</v>
      </c>
      <c r="F60" s="46" t="s">
        <v>179</v>
      </c>
      <c r="G60" s="47" t="s">
        <v>233</v>
      </c>
      <c r="H60" s="46" t="s">
        <v>285</v>
      </c>
      <c r="I60" s="46" t="s">
        <v>356</v>
      </c>
      <c r="J60" s="46" t="s">
        <v>406</v>
      </c>
      <c r="K60" s="46" t="s">
        <v>330</v>
      </c>
      <c r="L60" s="47">
        <v>1</v>
      </c>
      <c r="M60" s="46">
        <f t="shared" si="1"/>
        <v>5</v>
      </c>
      <c r="N60" s="46">
        <v>10</v>
      </c>
      <c r="O60" s="64" t="s">
        <v>369</v>
      </c>
      <c r="P60" s="53">
        <v>6.4000000000000001E-2</v>
      </c>
      <c r="Q60" s="53">
        <f t="shared" si="2"/>
        <v>0.64</v>
      </c>
      <c r="R60" s="48"/>
      <c r="S60" s="49"/>
    </row>
    <row r="61" spans="1:19" ht="15.75" thickBot="1" x14ac:dyDescent="0.3">
      <c r="A61" s="1"/>
      <c r="B61" s="38">
        <f t="shared" si="0"/>
        <v>52</v>
      </c>
      <c r="C61" s="60" t="s">
        <v>285</v>
      </c>
      <c r="D61" s="50" t="s">
        <v>55</v>
      </c>
      <c r="E61" s="51" t="s">
        <v>130</v>
      </c>
      <c r="F61" s="50" t="s">
        <v>179</v>
      </c>
      <c r="G61" s="50" t="s">
        <v>234</v>
      </c>
      <c r="H61" s="50" t="s">
        <v>256</v>
      </c>
      <c r="I61" s="50" t="s">
        <v>356</v>
      </c>
      <c r="J61" s="50" t="s">
        <v>407</v>
      </c>
      <c r="K61" s="50" t="s">
        <v>331</v>
      </c>
      <c r="L61" s="51">
        <v>4</v>
      </c>
      <c r="M61" s="50">
        <f t="shared" si="1"/>
        <v>20</v>
      </c>
      <c r="N61" s="50">
        <v>100</v>
      </c>
      <c r="O61" s="65" t="s">
        <v>369</v>
      </c>
      <c r="P61" s="54">
        <v>1.2999999999999999E-3</v>
      </c>
      <c r="Q61" s="54">
        <f t="shared" si="2"/>
        <v>0.13</v>
      </c>
      <c r="R61" s="52"/>
      <c r="S61" s="52"/>
    </row>
    <row r="62" spans="1:19" ht="48.75" thickBot="1" x14ac:dyDescent="0.3">
      <c r="A62" s="1"/>
      <c r="B62" s="38">
        <f>ROW(B62) - ROW($B$9)</f>
        <v>53</v>
      </c>
      <c r="C62" s="59" t="s">
        <v>285</v>
      </c>
      <c r="D62" s="46" t="s">
        <v>56</v>
      </c>
      <c r="E62" s="47" t="s">
        <v>131</v>
      </c>
      <c r="F62" s="46" t="s">
        <v>179</v>
      </c>
      <c r="G62" s="47" t="s">
        <v>235</v>
      </c>
      <c r="H62" s="46" t="s">
        <v>286</v>
      </c>
      <c r="I62" s="46" t="s">
        <v>356</v>
      </c>
      <c r="J62" s="46" t="s">
        <v>408</v>
      </c>
      <c r="K62" s="46" t="s">
        <v>332</v>
      </c>
      <c r="L62" s="47">
        <v>1</v>
      </c>
      <c r="M62" s="46">
        <f t="shared" si="1"/>
        <v>5</v>
      </c>
      <c r="N62" s="46">
        <v>20</v>
      </c>
      <c r="O62" s="64" t="s">
        <v>369</v>
      </c>
      <c r="P62" s="53">
        <v>2.1499999999999998E-2</v>
      </c>
      <c r="Q62" s="53">
        <f t="shared" si="2"/>
        <v>0.42999999999999994</v>
      </c>
      <c r="R62" s="48"/>
      <c r="S62" s="49"/>
    </row>
    <row r="63" spans="1:19" ht="36.75" thickBot="1" x14ac:dyDescent="0.3">
      <c r="A63" s="1"/>
      <c r="B63" s="38">
        <f>ROW(B63) - ROW($B$9)</f>
        <v>54</v>
      </c>
      <c r="C63" s="60" t="s">
        <v>285</v>
      </c>
      <c r="D63" s="50" t="s">
        <v>57</v>
      </c>
      <c r="E63" s="51" t="s">
        <v>132</v>
      </c>
      <c r="F63" s="50" t="s">
        <v>179</v>
      </c>
      <c r="G63" s="50" t="s">
        <v>409</v>
      </c>
      <c r="H63" s="50" t="s">
        <v>287</v>
      </c>
      <c r="I63" s="50" t="s">
        <v>356</v>
      </c>
      <c r="J63" s="50" t="s">
        <v>410</v>
      </c>
      <c r="K63" s="50" t="s">
        <v>333</v>
      </c>
      <c r="L63" s="51">
        <v>1</v>
      </c>
      <c r="M63" s="50">
        <f t="shared" si="1"/>
        <v>5</v>
      </c>
      <c r="N63" s="50">
        <v>50</v>
      </c>
      <c r="O63" s="65" t="s">
        <v>369</v>
      </c>
      <c r="P63" s="54">
        <v>4.1000000000000003E-3</v>
      </c>
      <c r="Q63" s="54">
        <f t="shared" si="2"/>
        <v>0.20500000000000002</v>
      </c>
      <c r="R63" s="52"/>
      <c r="S63" s="52"/>
    </row>
    <row r="64" spans="1:19" ht="15.75" thickBot="1" x14ac:dyDescent="0.3">
      <c r="A64" s="1"/>
      <c r="B64" s="38">
        <f t="shared" si="0"/>
        <v>55</v>
      </c>
      <c r="C64" s="59" t="s">
        <v>285</v>
      </c>
      <c r="D64" s="46" t="s">
        <v>58</v>
      </c>
      <c r="E64" s="47" t="s">
        <v>133</v>
      </c>
      <c r="F64" s="46" t="s">
        <v>179</v>
      </c>
      <c r="G64" s="47" t="s">
        <v>237</v>
      </c>
      <c r="H64" s="46" t="s">
        <v>256</v>
      </c>
      <c r="I64" s="46" t="s">
        <v>356</v>
      </c>
      <c r="J64" s="46" t="s">
        <v>411</v>
      </c>
      <c r="K64" s="46" t="s">
        <v>334</v>
      </c>
      <c r="L64" s="47">
        <v>1</v>
      </c>
      <c r="M64" s="46">
        <f t="shared" si="1"/>
        <v>5</v>
      </c>
      <c r="N64" s="46">
        <v>100</v>
      </c>
      <c r="O64" s="64" t="s">
        <v>369</v>
      </c>
      <c r="P64" s="53">
        <v>1.9E-3</v>
      </c>
      <c r="Q64" s="53">
        <f t="shared" si="2"/>
        <v>0.19</v>
      </c>
      <c r="R64" s="48"/>
      <c r="S64" s="49"/>
    </row>
    <row r="65" spans="1:19" ht="15.75" thickBot="1" x14ac:dyDescent="0.3">
      <c r="A65" s="1"/>
      <c r="B65" s="38">
        <f>ROW(B65) - ROW($B$9)</f>
        <v>56</v>
      </c>
      <c r="C65" s="60" t="s">
        <v>285</v>
      </c>
      <c r="D65" s="50" t="s">
        <v>59</v>
      </c>
      <c r="E65" s="51" t="s">
        <v>134</v>
      </c>
      <c r="F65" s="50" t="s">
        <v>179</v>
      </c>
      <c r="G65" s="50" t="s">
        <v>238</v>
      </c>
      <c r="H65" s="50" t="s">
        <v>256</v>
      </c>
      <c r="I65" s="50" t="s">
        <v>356</v>
      </c>
      <c r="J65" s="50" t="s">
        <v>413</v>
      </c>
      <c r="K65" s="50" t="s">
        <v>335</v>
      </c>
      <c r="L65" s="51">
        <v>2</v>
      </c>
      <c r="M65" s="50">
        <f t="shared" si="1"/>
        <v>10</v>
      </c>
      <c r="N65" s="50">
        <v>100</v>
      </c>
      <c r="O65" s="65" t="s">
        <v>369</v>
      </c>
      <c r="P65" s="54">
        <v>1.2999999999999999E-3</v>
      </c>
      <c r="Q65" s="54">
        <f t="shared" si="2"/>
        <v>0.13</v>
      </c>
      <c r="R65" s="52"/>
      <c r="S65" s="52"/>
    </row>
    <row r="66" spans="1:19" ht="15.75" thickBot="1" x14ac:dyDescent="0.3">
      <c r="A66" s="1"/>
      <c r="B66" s="38">
        <f t="shared" si="0"/>
        <v>57</v>
      </c>
      <c r="C66" s="59" t="s">
        <v>285</v>
      </c>
      <c r="D66" s="46" t="s">
        <v>60</v>
      </c>
      <c r="E66" s="47" t="s">
        <v>135</v>
      </c>
      <c r="F66" s="46" t="s">
        <v>180</v>
      </c>
      <c r="G66" s="47" t="s">
        <v>239</v>
      </c>
      <c r="H66" s="46" t="s">
        <v>256</v>
      </c>
      <c r="I66" s="46" t="s">
        <v>356</v>
      </c>
      <c r="J66" s="46" t="s">
        <v>412</v>
      </c>
      <c r="K66" s="46" t="s">
        <v>336</v>
      </c>
      <c r="L66" s="47">
        <v>1</v>
      </c>
      <c r="M66" s="46">
        <f t="shared" si="1"/>
        <v>5</v>
      </c>
      <c r="N66" s="46">
        <v>20</v>
      </c>
      <c r="O66" s="64" t="s">
        <v>369</v>
      </c>
      <c r="P66" s="53">
        <v>3.8199999999999998E-2</v>
      </c>
      <c r="Q66" s="53">
        <f t="shared" si="2"/>
        <v>0.76400000000000001</v>
      </c>
      <c r="R66" s="48"/>
      <c r="S66" s="49"/>
    </row>
    <row r="67" spans="1:19" ht="15.75" thickBot="1" x14ac:dyDescent="0.3">
      <c r="A67" s="1"/>
      <c r="B67" s="38">
        <f>ROW(B67) - ROW($B$9)</f>
        <v>58</v>
      </c>
      <c r="C67" s="60" t="s">
        <v>285</v>
      </c>
      <c r="D67" s="50" t="s">
        <v>61</v>
      </c>
      <c r="E67" s="51" t="s">
        <v>136</v>
      </c>
      <c r="F67" s="50" t="s">
        <v>180</v>
      </c>
      <c r="G67" s="50" t="s">
        <v>240</v>
      </c>
      <c r="H67" s="50" t="s">
        <v>256</v>
      </c>
      <c r="I67" s="50" t="s">
        <v>356</v>
      </c>
      <c r="J67" s="50" t="s">
        <v>414</v>
      </c>
      <c r="K67" s="50" t="s">
        <v>337</v>
      </c>
      <c r="L67" s="51">
        <v>1</v>
      </c>
      <c r="M67" s="50">
        <f t="shared" si="1"/>
        <v>5</v>
      </c>
      <c r="N67" s="50">
        <v>100</v>
      </c>
      <c r="O67" s="65" t="s">
        <v>369</v>
      </c>
      <c r="P67" s="54">
        <v>1.4E-3</v>
      </c>
      <c r="Q67" s="54">
        <f t="shared" si="2"/>
        <v>0.13999999999999999</v>
      </c>
      <c r="R67" s="52"/>
      <c r="S67" s="52"/>
    </row>
    <row r="68" spans="1:19" ht="36.75" thickBot="1" x14ac:dyDescent="0.3">
      <c r="A68" s="1"/>
      <c r="B68" s="38">
        <f t="shared" si="0"/>
        <v>59</v>
      </c>
      <c r="C68" s="59" t="s">
        <v>285</v>
      </c>
      <c r="D68" s="46" t="s">
        <v>62</v>
      </c>
      <c r="E68" s="47" t="s">
        <v>137</v>
      </c>
      <c r="F68" s="46" t="s">
        <v>355</v>
      </c>
      <c r="G68" s="47" t="s">
        <v>182</v>
      </c>
      <c r="H68" s="46" t="s">
        <v>288</v>
      </c>
      <c r="I68" s="46" t="s">
        <v>356</v>
      </c>
      <c r="J68" s="46" t="s">
        <v>415</v>
      </c>
      <c r="K68" s="46" t="s">
        <v>356</v>
      </c>
      <c r="L68" s="47">
        <v>1</v>
      </c>
      <c r="M68" s="46">
        <f t="shared" si="1"/>
        <v>5</v>
      </c>
      <c r="N68" s="46">
        <v>10</v>
      </c>
      <c r="O68" s="64" t="s">
        <v>369</v>
      </c>
      <c r="P68" s="53">
        <v>0.1487</v>
      </c>
      <c r="Q68" s="53">
        <f t="shared" si="2"/>
        <v>1.4870000000000001</v>
      </c>
      <c r="R68" s="48"/>
      <c r="S68" s="49"/>
    </row>
    <row r="69" spans="1:19" ht="84.75" thickBot="1" x14ac:dyDescent="0.3">
      <c r="A69" s="1"/>
      <c r="B69" s="38">
        <f>ROW(B69) - ROW($B$9)</f>
        <v>60</v>
      </c>
      <c r="C69" s="60" t="s">
        <v>183</v>
      </c>
      <c r="D69" s="50" t="s">
        <v>63</v>
      </c>
      <c r="E69" s="51" t="s">
        <v>138</v>
      </c>
      <c r="F69" s="50" t="s">
        <v>355</v>
      </c>
      <c r="G69" s="50" t="s">
        <v>183</v>
      </c>
      <c r="H69" s="50" t="s">
        <v>356</v>
      </c>
      <c r="I69" s="50" t="s">
        <v>356</v>
      </c>
      <c r="J69" s="50" t="s">
        <v>356</v>
      </c>
      <c r="K69" s="50" t="s">
        <v>356</v>
      </c>
      <c r="L69" s="51">
        <v>38</v>
      </c>
      <c r="M69" s="50">
        <f t="shared" si="1"/>
        <v>190</v>
      </c>
      <c r="N69" s="50" t="s">
        <v>356</v>
      </c>
      <c r="O69" s="65" t="s">
        <v>356</v>
      </c>
      <c r="P69" s="54" t="s">
        <v>356</v>
      </c>
      <c r="Q69" s="54" t="s">
        <v>356</v>
      </c>
      <c r="R69" s="52"/>
      <c r="S69" s="52"/>
    </row>
    <row r="70" spans="1:19" ht="36.75" thickBot="1" x14ac:dyDescent="0.3">
      <c r="A70" s="1"/>
      <c r="B70" s="38">
        <f t="shared" si="0"/>
        <v>61</v>
      </c>
      <c r="C70" s="59" t="s">
        <v>352</v>
      </c>
      <c r="D70" s="46" t="s">
        <v>64</v>
      </c>
      <c r="E70" s="47" t="s">
        <v>139</v>
      </c>
      <c r="F70" s="46" t="s">
        <v>355</v>
      </c>
      <c r="G70" s="47" t="s">
        <v>184</v>
      </c>
      <c r="H70" s="46" t="s">
        <v>289</v>
      </c>
      <c r="I70" s="46" t="s">
        <v>356</v>
      </c>
      <c r="J70" s="46" t="s">
        <v>416</v>
      </c>
      <c r="K70" s="46" t="s">
        <v>356</v>
      </c>
      <c r="L70" s="47">
        <v>2</v>
      </c>
      <c r="M70" s="46">
        <f t="shared" si="1"/>
        <v>10</v>
      </c>
      <c r="N70" s="46">
        <v>20</v>
      </c>
      <c r="O70" s="64" t="s">
        <v>369</v>
      </c>
      <c r="P70" s="53">
        <v>6.3E-2</v>
      </c>
      <c r="Q70" s="53">
        <f t="shared" si="2"/>
        <v>1.26</v>
      </c>
      <c r="R70" s="48"/>
      <c r="S70" s="49"/>
    </row>
    <row r="71" spans="1:19" ht="15.75" thickBot="1" x14ac:dyDescent="0.3">
      <c r="A71" s="1"/>
      <c r="B71" s="38">
        <f>ROW(B71) - ROW($B$9)</f>
        <v>62</v>
      </c>
      <c r="C71" s="60" t="s">
        <v>353</v>
      </c>
      <c r="D71" s="50" t="s">
        <v>65</v>
      </c>
      <c r="E71" s="51" t="s">
        <v>140</v>
      </c>
      <c r="F71" s="50" t="s">
        <v>185</v>
      </c>
      <c r="G71" s="50" t="s">
        <v>241</v>
      </c>
      <c r="H71" s="50" t="s">
        <v>278</v>
      </c>
      <c r="I71" s="50" t="s">
        <v>356</v>
      </c>
      <c r="J71" s="50" t="s">
        <v>417</v>
      </c>
      <c r="K71" s="50" t="s">
        <v>356</v>
      </c>
      <c r="L71" s="51">
        <v>1</v>
      </c>
      <c r="M71" s="50">
        <f t="shared" si="1"/>
        <v>5</v>
      </c>
      <c r="N71" s="50">
        <v>6</v>
      </c>
      <c r="O71" s="65" t="s">
        <v>369</v>
      </c>
      <c r="P71" s="54">
        <v>0.49059999999999998</v>
      </c>
      <c r="Q71" s="54">
        <f t="shared" si="2"/>
        <v>2.9436</v>
      </c>
      <c r="R71" s="52"/>
      <c r="S71" s="52"/>
    </row>
    <row r="72" spans="1:19" s="88" customFormat="1" ht="15.75" thickBot="1" x14ac:dyDescent="0.3">
      <c r="A72" s="80"/>
      <c r="B72" s="81">
        <f t="shared" si="0"/>
        <v>63</v>
      </c>
      <c r="C72" s="82" t="s">
        <v>353</v>
      </c>
      <c r="D72" s="83" t="s">
        <v>66</v>
      </c>
      <c r="E72" s="84" t="s">
        <v>141</v>
      </c>
      <c r="F72" s="83" t="s">
        <v>186</v>
      </c>
      <c r="G72" s="84" t="s">
        <v>242</v>
      </c>
      <c r="H72" s="83" t="s">
        <v>290</v>
      </c>
      <c r="I72" s="83" t="s">
        <v>356</v>
      </c>
      <c r="J72" s="83" t="s">
        <v>356</v>
      </c>
      <c r="K72" s="83" t="s">
        <v>356</v>
      </c>
      <c r="L72" s="84">
        <v>1</v>
      </c>
      <c r="M72" s="83">
        <f t="shared" ref="M72:M84" si="3">L72*5</f>
        <v>5</v>
      </c>
      <c r="N72" s="83">
        <v>6</v>
      </c>
      <c r="O72" s="85" t="s">
        <v>454</v>
      </c>
      <c r="P72" s="86">
        <v>10.87</v>
      </c>
      <c r="Q72" s="86">
        <f t="shared" ref="Q72:Q84" si="4">P72*N72</f>
        <v>65.22</v>
      </c>
      <c r="R72" s="87" t="s">
        <v>453</v>
      </c>
      <c r="S72" s="49"/>
    </row>
    <row r="73" spans="1:19" ht="15.75" thickBot="1" x14ac:dyDescent="0.3">
      <c r="A73" s="1"/>
      <c r="B73" s="38">
        <f>ROW(B73) - ROW($B$9)</f>
        <v>64</v>
      </c>
      <c r="C73" s="60" t="s">
        <v>353</v>
      </c>
      <c r="D73" s="50" t="s">
        <v>67</v>
      </c>
      <c r="E73" s="51" t="s">
        <v>142</v>
      </c>
      <c r="F73" s="50" t="s">
        <v>187</v>
      </c>
      <c r="G73" s="50" t="s">
        <v>243</v>
      </c>
      <c r="H73" s="50" t="s">
        <v>279</v>
      </c>
      <c r="I73" s="50" t="s">
        <v>356</v>
      </c>
      <c r="J73" s="50" t="s">
        <v>418</v>
      </c>
      <c r="K73" s="50" t="s">
        <v>356</v>
      </c>
      <c r="L73" s="51">
        <v>2</v>
      </c>
      <c r="M73" s="50">
        <f t="shared" si="3"/>
        <v>10</v>
      </c>
      <c r="N73" s="50">
        <v>11</v>
      </c>
      <c r="O73" s="65" t="s">
        <v>369</v>
      </c>
      <c r="P73" s="54">
        <v>0.79530000000000001</v>
      </c>
      <c r="Q73" s="54">
        <f t="shared" si="4"/>
        <v>8.7483000000000004</v>
      </c>
      <c r="R73" s="52"/>
      <c r="S73" s="52"/>
    </row>
    <row r="74" spans="1:19" ht="15.75" thickBot="1" x14ac:dyDescent="0.3">
      <c r="A74" s="1"/>
      <c r="B74" s="38">
        <f t="shared" si="0"/>
        <v>65</v>
      </c>
      <c r="C74" s="59" t="s">
        <v>353</v>
      </c>
      <c r="D74" s="46" t="s">
        <v>68</v>
      </c>
      <c r="E74" s="47" t="s">
        <v>143</v>
      </c>
      <c r="F74" s="46" t="s">
        <v>187</v>
      </c>
      <c r="G74" s="47" t="s">
        <v>244</v>
      </c>
      <c r="H74" s="46" t="s">
        <v>278</v>
      </c>
      <c r="I74" s="46" t="s">
        <v>356</v>
      </c>
      <c r="J74" s="46" t="s">
        <v>420</v>
      </c>
      <c r="K74" s="46" t="s">
        <v>356</v>
      </c>
      <c r="L74" s="47">
        <v>1</v>
      </c>
      <c r="M74" s="46">
        <f t="shared" si="3"/>
        <v>5</v>
      </c>
      <c r="N74" s="46">
        <v>6</v>
      </c>
      <c r="O74" s="64" t="s">
        <v>369</v>
      </c>
      <c r="P74" s="53">
        <v>0.38390000000000002</v>
      </c>
      <c r="Q74" s="53">
        <f t="shared" si="4"/>
        <v>2.3033999999999999</v>
      </c>
      <c r="R74" s="48"/>
      <c r="S74" s="49"/>
    </row>
    <row r="75" spans="1:19" ht="15.75" thickBot="1" x14ac:dyDescent="0.3">
      <c r="A75" s="1"/>
      <c r="B75" s="38">
        <f>ROW(B75) - ROW($B$9)</f>
        <v>66</v>
      </c>
      <c r="C75" s="60" t="s">
        <v>353</v>
      </c>
      <c r="D75" s="50" t="s">
        <v>69</v>
      </c>
      <c r="E75" s="51" t="s">
        <v>144</v>
      </c>
      <c r="F75" s="50" t="s">
        <v>187</v>
      </c>
      <c r="G75" s="50" t="s">
        <v>245</v>
      </c>
      <c r="H75" s="50" t="s">
        <v>291</v>
      </c>
      <c r="I75" s="50" t="s">
        <v>356</v>
      </c>
      <c r="J75" s="50" t="s">
        <v>419</v>
      </c>
      <c r="K75" s="50" t="s">
        <v>356</v>
      </c>
      <c r="L75" s="51">
        <v>1</v>
      </c>
      <c r="M75" s="50">
        <f t="shared" si="3"/>
        <v>5</v>
      </c>
      <c r="N75" s="50">
        <v>6</v>
      </c>
      <c r="O75" s="65" t="s">
        <v>369</v>
      </c>
      <c r="P75" s="54">
        <v>2.5665</v>
      </c>
      <c r="Q75" s="54">
        <f t="shared" si="4"/>
        <v>15.399000000000001</v>
      </c>
      <c r="R75" s="52"/>
      <c r="S75" s="52"/>
    </row>
    <row r="76" spans="1:19" ht="15.75" thickBot="1" x14ac:dyDescent="0.3">
      <c r="A76" s="1"/>
      <c r="B76" s="38">
        <f t="shared" si="0"/>
        <v>67</v>
      </c>
      <c r="C76" s="59" t="s">
        <v>353</v>
      </c>
      <c r="D76" s="46" t="s">
        <v>70</v>
      </c>
      <c r="E76" s="47" t="s">
        <v>145</v>
      </c>
      <c r="F76" s="46" t="s">
        <v>188</v>
      </c>
      <c r="G76" s="47" t="s">
        <v>246</v>
      </c>
      <c r="H76" s="46" t="s">
        <v>292</v>
      </c>
      <c r="I76" s="46" t="s">
        <v>356</v>
      </c>
      <c r="J76" s="46" t="s">
        <v>356</v>
      </c>
      <c r="K76" s="46" t="s">
        <v>356</v>
      </c>
      <c r="L76" s="47">
        <v>1</v>
      </c>
      <c r="M76" s="46">
        <f t="shared" si="3"/>
        <v>5</v>
      </c>
      <c r="N76" s="46">
        <v>6</v>
      </c>
      <c r="O76" s="64" t="s">
        <v>454</v>
      </c>
      <c r="P76" s="53">
        <v>43.5</v>
      </c>
      <c r="Q76" s="53">
        <f t="shared" si="4"/>
        <v>261</v>
      </c>
      <c r="R76" s="87" t="s">
        <v>453</v>
      </c>
      <c r="S76" s="49"/>
    </row>
    <row r="77" spans="1:19" ht="24.75" thickBot="1" x14ac:dyDescent="0.3">
      <c r="A77" s="1"/>
      <c r="B77" s="38">
        <f>ROW(B77) - ROW($B$9)</f>
        <v>68</v>
      </c>
      <c r="C77" s="60" t="s">
        <v>353</v>
      </c>
      <c r="D77" s="50" t="s">
        <v>71</v>
      </c>
      <c r="E77" s="51" t="s">
        <v>146</v>
      </c>
      <c r="F77" s="50" t="s">
        <v>189</v>
      </c>
      <c r="G77" s="50" t="s">
        <v>247</v>
      </c>
      <c r="H77" s="50" t="s">
        <v>293</v>
      </c>
      <c r="I77" s="50" t="s">
        <v>356</v>
      </c>
      <c r="J77" s="50" t="s">
        <v>421</v>
      </c>
      <c r="K77" s="50" t="s">
        <v>356</v>
      </c>
      <c r="L77" s="51">
        <v>1</v>
      </c>
      <c r="M77" s="50">
        <f t="shared" si="3"/>
        <v>5</v>
      </c>
      <c r="N77" s="50">
        <v>6</v>
      </c>
      <c r="O77" s="65" t="s">
        <v>369</v>
      </c>
      <c r="P77" s="54">
        <v>0.76259999999999994</v>
      </c>
      <c r="Q77" s="54">
        <f t="shared" si="4"/>
        <v>4.5755999999999997</v>
      </c>
      <c r="R77" s="52"/>
      <c r="S77" s="52"/>
    </row>
    <row r="78" spans="1:19" ht="15.75" thickBot="1" x14ac:dyDescent="0.3">
      <c r="A78" s="1"/>
      <c r="B78" s="38">
        <f t="shared" si="0"/>
        <v>69</v>
      </c>
      <c r="C78" s="59" t="s">
        <v>353</v>
      </c>
      <c r="D78" s="46" t="s">
        <v>72</v>
      </c>
      <c r="E78" s="47" t="s">
        <v>147</v>
      </c>
      <c r="F78" s="46" t="s">
        <v>190</v>
      </c>
      <c r="G78" s="47" t="s">
        <v>248</v>
      </c>
      <c r="H78" s="46" t="s">
        <v>294</v>
      </c>
      <c r="I78" s="46" t="s">
        <v>356</v>
      </c>
      <c r="J78" s="46" t="s">
        <v>422</v>
      </c>
      <c r="K78" s="46" t="s">
        <v>356</v>
      </c>
      <c r="L78" s="47">
        <v>1</v>
      </c>
      <c r="M78" s="46">
        <f t="shared" si="3"/>
        <v>5</v>
      </c>
      <c r="N78" s="46">
        <v>6</v>
      </c>
      <c r="O78" s="64" t="s">
        <v>369</v>
      </c>
      <c r="P78" s="53">
        <v>4.2103999999999999</v>
      </c>
      <c r="Q78" s="53">
        <f t="shared" si="4"/>
        <v>25.2624</v>
      </c>
      <c r="R78" s="48"/>
      <c r="S78" s="49"/>
    </row>
    <row r="79" spans="1:19" ht="15.75" thickBot="1" x14ac:dyDescent="0.3">
      <c r="A79" s="1"/>
      <c r="B79" s="38">
        <f>ROW(B79) - ROW($B$9)</f>
        <v>70</v>
      </c>
      <c r="C79" s="60" t="s">
        <v>353</v>
      </c>
      <c r="D79" s="50" t="s">
        <v>73</v>
      </c>
      <c r="E79" s="51" t="s">
        <v>148</v>
      </c>
      <c r="F79" s="50" t="s">
        <v>355</v>
      </c>
      <c r="G79" s="50" t="s">
        <v>191</v>
      </c>
      <c r="H79" s="50" t="s">
        <v>295</v>
      </c>
      <c r="I79" s="50" t="s">
        <v>356</v>
      </c>
      <c r="J79" s="50" t="s">
        <v>423</v>
      </c>
      <c r="K79" s="50" t="s">
        <v>356</v>
      </c>
      <c r="L79" s="51">
        <v>1</v>
      </c>
      <c r="M79" s="50">
        <f t="shared" si="3"/>
        <v>5</v>
      </c>
      <c r="N79" s="50">
        <v>6</v>
      </c>
      <c r="O79" s="65" t="s">
        <v>369</v>
      </c>
      <c r="P79" s="54">
        <v>1.4825999999999999</v>
      </c>
      <c r="Q79" s="54">
        <f t="shared" si="4"/>
        <v>8.8956</v>
      </c>
      <c r="R79" s="52"/>
      <c r="S79" s="52"/>
    </row>
    <row r="80" spans="1:19" ht="24.75" thickBot="1" x14ac:dyDescent="0.3">
      <c r="A80" s="1"/>
      <c r="B80" s="38">
        <f t="shared" si="0"/>
        <v>71</v>
      </c>
      <c r="C80" s="59" t="s">
        <v>353</v>
      </c>
      <c r="D80" s="46" t="s">
        <v>74</v>
      </c>
      <c r="E80" s="47" t="s">
        <v>149</v>
      </c>
      <c r="F80" s="46" t="s">
        <v>355</v>
      </c>
      <c r="G80" s="47" t="s">
        <v>249</v>
      </c>
      <c r="H80" s="46" t="s">
        <v>356</v>
      </c>
      <c r="I80" s="46" t="s">
        <v>356</v>
      </c>
      <c r="J80" s="46" t="s">
        <v>356</v>
      </c>
      <c r="K80" s="46" t="s">
        <v>356</v>
      </c>
      <c r="L80" s="47">
        <v>1</v>
      </c>
      <c r="M80" s="46">
        <f t="shared" si="3"/>
        <v>5</v>
      </c>
      <c r="N80" s="46">
        <v>6</v>
      </c>
      <c r="O80" s="64" t="s">
        <v>454</v>
      </c>
      <c r="P80" s="53">
        <v>3.2</v>
      </c>
      <c r="Q80" s="53">
        <f t="shared" si="4"/>
        <v>19.200000000000003</v>
      </c>
      <c r="R80" s="87" t="s">
        <v>453</v>
      </c>
      <c r="S80" s="49"/>
    </row>
    <row r="81" spans="1:19" ht="24.75" thickBot="1" x14ac:dyDescent="0.3">
      <c r="A81" s="1"/>
      <c r="B81" s="38">
        <f>ROW(B81) - ROW($B$9)</f>
        <v>72</v>
      </c>
      <c r="C81" s="60" t="s">
        <v>353</v>
      </c>
      <c r="D81" s="50" t="s">
        <v>75</v>
      </c>
      <c r="E81" s="51" t="s">
        <v>150</v>
      </c>
      <c r="F81" s="50" t="s">
        <v>192</v>
      </c>
      <c r="G81" s="50" t="s">
        <v>250</v>
      </c>
      <c r="H81" s="50" t="s">
        <v>296</v>
      </c>
      <c r="I81" s="50" t="s">
        <v>356</v>
      </c>
      <c r="J81" s="50" t="s">
        <v>424</v>
      </c>
      <c r="K81" s="50" t="s">
        <v>356</v>
      </c>
      <c r="L81" s="51">
        <v>1</v>
      </c>
      <c r="M81" s="50">
        <f t="shared" si="3"/>
        <v>5</v>
      </c>
      <c r="N81" s="50">
        <v>6</v>
      </c>
      <c r="O81" s="65" t="s">
        <v>369</v>
      </c>
      <c r="P81" s="54">
        <v>0.49230000000000002</v>
      </c>
      <c r="Q81" s="54">
        <f t="shared" si="4"/>
        <v>2.9538000000000002</v>
      </c>
      <c r="R81" s="52"/>
      <c r="S81" s="52"/>
    </row>
    <row r="82" spans="1:19" ht="24.75" thickBot="1" x14ac:dyDescent="0.3">
      <c r="A82" s="1"/>
      <c r="B82" s="38">
        <f t="shared" si="0"/>
        <v>73</v>
      </c>
      <c r="C82" s="59" t="s">
        <v>353</v>
      </c>
      <c r="D82" s="46" t="s">
        <v>76</v>
      </c>
      <c r="E82" s="47" t="s">
        <v>151</v>
      </c>
      <c r="F82" s="46" t="s">
        <v>192</v>
      </c>
      <c r="G82" s="47" t="s">
        <v>251</v>
      </c>
      <c r="H82" s="46" t="s">
        <v>297</v>
      </c>
      <c r="I82" s="46" t="s">
        <v>356</v>
      </c>
      <c r="J82" s="46" t="s">
        <v>356</v>
      </c>
      <c r="K82" s="46" t="s">
        <v>356</v>
      </c>
      <c r="L82" s="47">
        <v>1</v>
      </c>
      <c r="M82" s="46">
        <f t="shared" si="3"/>
        <v>5</v>
      </c>
      <c r="N82" s="46">
        <v>6</v>
      </c>
      <c r="O82" s="64" t="s">
        <v>454</v>
      </c>
      <c r="P82" s="53">
        <v>1.45</v>
      </c>
      <c r="Q82" s="53">
        <f t="shared" si="4"/>
        <v>8.6999999999999993</v>
      </c>
      <c r="R82" s="87" t="s">
        <v>453</v>
      </c>
      <c r="S82" s="49"/>
    </row>
    <row r="83" spans="1:19" ht="36.75" thickBot="1" x14ac:dyDescent="0.3">
      <c r="A83" s="1"/>
      <c r="B83" s="38">
        <f>ROW(B83) - ROW($B$9)</f>
        <v>74</v>
      </c>
      <c r="C83" s="60" t="s">
        <v>354</v>
      </c>
      <c r="D83" s="50" t="s">
        <v>77</v>
      </c>
      <c r="E83" s="51" t="s">
        <v>152</v>
      </c>
      <c r="F83" s="50" t="s">
        <v>355</v>
      </c>
      <c r="G83" s="50" t="s">
        <v>193</v>
      </c>
      <c r="H83" s="50" t="s">
        <v>298</v>
      </c>
      <c r="I83" s="50" t="s">
        <v>356</v>
      </c>
      <c r="J83" s="50" t="s">
        <v>425</v>
      </c>
      <c r="K83" s="50" t="s">
        <v>338</v>
      </c>
      <c r="L83" s="51">
        <v>1</v>
      </c>
      <c r="M83" s="50">
        <f t="shared" si="3"/>
        <v>5</v>
      </c>
      <c r="N83" s="50">
        <v>10</v>
      </c>
      <c r="O83" s="65" t="s">
        <v>369</v>
      </c>
      <c r="P83" s="54">
        <v>8.6900000000000005E-2</v>
      </c>
      <c r="Q83" s="54">
        <f t="shared" si="4"/>
        <v>0.86899999999999999</v>
      </c>
      <c r="R83" s="52"/>
      <c r="S83" s="52"/>
    </row>
    <row r="84" spans="1:19" ht="36.75" thickBot="1" x14ac:dyDescent="0.3">
      <c r="A84" s="1"/>
      <c r="B84" s="38">
        <f t="shared" si="0"/>
        <v>75</v>
      </c>
      <c r="C84" s="59" t="s">
        <v>354</v>
      </c>
      <c r="D84" s="46" t="s">
        <v>78</v>
      </c>
      <c r="E84" s="47" t="s">
        <v>153</v>
      </c>
      <c r="F84" s="46" t="s">
        <v>355</v>
      </c>
      <c r="G84" s="47" t="s">
        <v>252</v>
      </c>
      <c r="H84" s="46" t="s">
        <v>299</v>
      </c>
      <c r="I84" s="46" t="s">
        <v>356</v>
      </c>
      <c r="J84" s="46" t="s">
        <v>426</v>
      </c>
      <c r="K84" s="46" t="s">
        <v>339</v>
      </c>
      <c r="L84" s="47">
        <v>1</v>
      </c>
      <c r="M84" s="46">
        <f t="shared" si="3"/>
        <v>5</v>
      </c>
      <c r="N84" s="46">
        <v>10</v>
      </c>
      <c r="O84" s="64" t="s">
        <v>369</v>
      </c>
      <c r="P84" s="53">
        <v>0.112</v>
      </c>
      <c r="Q84" s="53">
        <f t="shared" si="4"/>
        <v>1.1200000000000001</v>
      </c>
      <c r="R84" s="48"/>
      <c r="S84" s="49"/>
    </row>
    <row r="85" spans="1:19" ht="19.5" thickBot="1" x14ac:dyDescent="0.3">
      <c r="A85" s="1"/>
      <c r="B85" s="33"/>
      <c r="C85" s="44"/>
      <c r="D85" s="34"/>
      <c r="E85" s="35"/>
      <c r="F85" s="36"/>
      <c r="G85" s="37"/>
      <c r="H85" s="36"/>
      <c r="I85" s="37"/>
      <c r="J85" s="36"/>
      <c r="K85" s="37"/>
      <c r="L85" s="37"/>
      <c r="M85" s="37"/>
      <c r="N85" s="78" t="s">
        <v>449</v>
      </c>
      <c r="O85" s="79"/>
      <c r="P85" s="79"/>
      <c r="Q85" s="68">
        <f>SUM(Q10:Q84)</f>
        <v>510.77860000000004</v>
      </c>
      <c r="R85" s="74"/>
      <c r="S85" s="75"/>
    </row>
    <row r="86" spans="1:19" ht="19.5" thickBot="1" x14ac:dyDescent="0.3">
      <c r="A86" s="1"/>
      <c r="B86" s="25"/>
      <c r="C86" s="45"/>
      <c r="D86" s="9"/>
      <c r="E86" s="10"/>
      <c r="F86" s="10"/>
      <c r="G86" s="10"/>
      <c r="H86" s="10"/>
      <c r="I86" s="10"/>
      <c r="J86" s="10"/>
      <c r="K86" s="10"/>
      <c r="L86" s="10"/>
      <c r="M86" s="10"/>
      <c r="N86" s="78" t="s">
        <v>450</v>
      </c>
      <c r="O86" s="79"/>
      <c r="P86" s="79"/>
      <c r="Q86" s="69">
        <f>Q85/5</f>
        <v>102.15572</v>
      </c>
      <c r="R86" s="76"/>
      <c r="S86" s="77"/>
    </row>
  </sheetData>
  <mergeCells count="5">
    <mergeCell ref="K1:S1"/>
    <mergeCell ref="S3:S8"/>
    <mergeCell ref="R85:S86"/>
    <mergeCell ref="N85:P85"/>
    <mergeCell ref="N86:P86"/>
  </mergeCells>
  <hyperlinks>
    <hyperlink ref="O10" r:id="rId1" xr:uid="{FFDF232B-BF83-4687-9D10-930C81570C73}"/>
    <hyperlink ref="O11" r:id="rId2" xr:uid="{DA1DE63F-4359-464E-947B-0FD6A55C6AFC}"/>
    <hyperlink ref="O12" r:id="rId3" xr:uid="{B9F9B852-E96F-4ACD-AF52-F62865344352}"/>
    <hyperlink ref="O13" r:id="rId4" xr:uid="{0ABB5F52-C97E-4A95-921C-0DBA9F071AB0}"/>
    <hyperlink ref="O14" r:id="rId5" xr:uid="{D1C66806-C117-43FC-A89C-D37ED5E95C19}"/>
    <hyperlink ref="O15" r:id="rId6" xr:uid="{1131A422-8500-43CE-A804-D7906C69967E}"/>
    <hyperlink ref="O16" r:id="rId7" xr:uid="{F19F0AC8-C0E5-4A13-969A-75D21B427BB0}"/>
    <hyperlink ref="O17" r:id="rId8" xr:uid="{F21DEF5C-D491-4F8E-8540-3A90974260B0}"/>
    <hyperlink ref="O18" r:id="rId9" xr:uid="{F945B7A2-A06A-41F9-802A-3525FA0CBF66}"/>
    <hyperlink ref="O19" r:id="rId10" xr:uid="{ED06BC52-68B2-4AE0-B2D2-00CBE22953C6}"/>
    <hyperlink ref="O20" r:id="rId11" xr:uid="{DDC0221E-ED6D-4559-926A-9D819F258397}"/>
    <hyperlink ref="O21" r:id="rId12" xr:uid="{54941123-B2AC-4DD7-BCFB-90C36B226586}"/>
    <hyperlink ref="O23" r:id="rId13" xr:uid="{3A5EE74A-B6F8-40A6-BD4B-89BA178EB81B}"/>
    <hyperlink ref="O25" r:id="rId14" xr:uid="{11584FA5-032C-4DBF-9765-23C07BFCAEF8}"/>
    <hyperlink ref="O30" r:id="rId15" xr:uid="{5EE103CF-C83D-4586-9E7F-96A1AEFD992F}"/>
    <hyperlink ref="O33" r:id="rId16" xr:uid="{9BD9D495-5645-4172-B487-110252732D05}"/>
    <hyperlink ref="O34" r:id="rId17" xr:uid="{25BC95A3-A7EB-4F4C-8609-ACEF5B806297}"/>
    <hyperlink ref="O35" r:id="rId18" xr:uid="{B8C65A29-D9CC-4E85-B5F1-306F35036E2B}"/>
    <hyperlink ref="O36" r:id="rId19" xr:uid="{5A65F15C-5469-4C4D-BB38-90C0641F63DF}"/>
    <hyperlink ref="O37" r:id="rId20" xr:uid="{DC54B3AF-08D1-46BA-A8A7-3995C1DF2DED}"/>
    <hyperlink ref="O40" r:id="rId21" xr:uid="{DD3949ED-3BA9-4834-9562-801D5FD6DF91}"/>
    <hyperlink ref="O42" r:id="rId22" xr:uid="{969558E3-B81A-42B2-A615-8543AB4C5552}"/>
    <hyperlink ref="O45" r:id="rId23" xr:uid="{40957DD9-6F9F-4B6D-AB9C-2BB21C83C065}"/>
    <hyperlink ref="O46" r:id="rId24" xr:uid="{9BD4C9D3-40E8-4ADF-B16B-8E4F58DB9CD4}"/>
    <hyperlink ref="O47" r:id="rId25" xr:uid="{D66C022A-9469-4448-9F7B-02AE7A377015}"/>
    <hyperlink ref="O48" r:id="rId26" xr:uid="{B7504B37-B01A-485F-82B4-B682BACA56F4}"/>
    <hyperlink ref="O49" r:id="rId27" xr:uid="{FDA89C7D-3DF3-4831-BAAE-6C44881FCC8B}"/>
    <hyperlink ref="O50" r:id="rId28" xr:uid="{40FA51F4-73EA-4E29-8591-4648718DA037}"/>
    <hyperlink ref="O51" r:id="rId29" xr:uid="{EC238B24-0256-4C29-AE21-78404FA26592}"/>
    <hyperlink ref="O52" r:id="rId30" xr:uid="{6335071D-AE40-48DA-A13C-9B8B9AD4D7C0}"/>
    <hyperlink ref="O54" r:id="rId31" xr:uid="{5ED418C2-581E-4000-9F7C-7BC6D173B7EF}"/>
    <hyperlink ref="O55" r:id="rId32" xr:uid="{D7F533A6-81AC-417E-9AA8-894901942B06}"/>
    <hyperlink ref="O56" r:id="rId33" xr:uid="{3C7C3E89-1710-4BA6-8D0A-291B0F44D5C6}"/>
    <hyperlink ref="O57" r:id="rId34" xr:uid="{7D792518-01CA-48DC-AE86-544C4AF4C5FD}"/>
    <hyperlink ref="O58" r:id="rId35" xr:uid="{C244C886-3C06-42B4-877D-80056E64A473}"/>
    <hyperlink ref="O59" r:id="rId36" xr:uid="{74AB7B1D-C0F6-4F8E-A993-4B4DD7841A5B}"/>
    <hyperlink ref="O60" r:id="rId37" xr:uid="{3E71446B-708C-47F0-BEDB-F4A9A3CA5ACF}"/>
    <hyperlink ref="O61" r:id="rId38" xr:uid="{A2A93AFD-247B-441A-83A7-846D175F5244}"/>
    <hyperlink ref="O62" r:id="rId39" xr:uid="{BA6C9F4A-EEAD-42CD-AC5F-22864A0F3840}"/>
    <hyperlink ref="O63" r:id="rId40" xr:uid="{62F0F06D-ABB0-40A1-A2EB-ABFD1853F5D5}"/>
    <hyperlink ref="O64" r:id="rId41" xr:uid="{4636F4B8-0DF0-4D7D-95B9-3494C56B8336}"/>
    <hyperlink ref="O65" r:id="rId42" xr:uid="{F6A957DB-D8D6-425B-B9DD-0F7F68BFD04F}"/>
    <hyperlink ref="O66" r:id="rId43" xr:uid="{73BD8A20-F2C7-407B-BCFD-E618FCEE7BD1}"/>
    <hyperlink ref="O67" r:id="rId44" xr:uid="{21B0DA1B-6E5B-4362-9C10-6D968A37D8D5}"/>
    <hyperlink ref="O68" r:id="rId45" xr:uid="{F499B213-D8E5-4209-BFA9-5CFCAE3D237B}"/>
    <hyperlink ref="O70" r:id="rId46" xr:uid="{5DD60496-557D-46E8-9F11-37BB44D81837}"/>
    <hyperlink ref="O71" r:id="rId47" xr:uid="{519227CC-3426-4F60-A9EE-34DA056C7F55}"/>
    <hyperlink ref="O73" r:id="rId48" xr:uid="{E405F7D4-4F6F-4EC3-B126-A00C50709986}"/>
    <hyperlink ref="O75" r:id="rId49" xr:uid="{29D2ED58-A2E0-40F3-99CE-B4C2CA638EB6}"/>
    <hyperlink ref="O74" r:id="rId50" xr:uid="{CAE47FAD-CCF6-49F4-8495-FF9C044317FB}"/>
    <hyperlink ref="O77" r:id="rId51" xr:uid="{AC164C7C-CACA-44D3-9738-72415302B728}"/>
    <hyperlink ref="O78" r:id="rId52" xr:uid="{8231F02D-A710-43A7-B966-BCE939C43506}"/>
    <hyperlink ref="O79" r:id="rId53" xr:uid="{65F2D221-E890-45D3-B859-0DF47EE540F2}"/>
    <hyperlink ref="O81" r:id="rId54" xr:uid="{89D001BA-46B9-49D7-A308-A27240FB5F98}"/>
    <hyperlink ref="O83" r:id="rId55" xr:uid="{2F3A0847-F001-4D8A-A2CB-2DC095CC24CC}"/>
    <hyperlink ref="O84" r:id="rId56" xr:uid="{F8B55971-530A-4189-B312-D772FB4CA69B}"/>
    <hyperlink ref="O22" r:id="rId57" xr:uid="{266C89ED-C124-47E2-84B3-4A01BD69A504}"/>
    <hyperlink ref="O24" r:id="rId58" xr:uid="{F865C2CC-EE07-4B5F-8008-E1A205DE005A}"/>
    <hyperlink ref="O26" r:id="rId59" xr:uid="{4DB77D3D-7151-46E4-9281-78BB782CB9AD}"/>
    <hyperlink ref="O27" r:id="rId60" xr:uid="{4755A196-86D6-427B-9073-A496CE2A40C0}"/>
    <hyperlink ref="O28" r:id="rId61" xr:uid="{1252FBC2-F125-449D-B287-D62053C0FAE4}"/>
    <hyperlink ref="O29" r:id="rId62" xr:uid="{D87F2853-43EC-425A-A8CC-5B8A66E228FE}"/>
    <hyperlink ref="O31" r:id="rId63" xr:uid="{63F57488-A175-4233-9B21-838164228F70}"/>
    <hyperlink ref="O32" r:id="rId64" xr:uid="{BFF0A1CE-8710-48BB-BFE0-A6747A325933}"/>
    <hyperlink ref="O39" r:id="rId65" xr:uid="{89BFF0F6-3AA1-43B9-9D5B-8332336B9E80}"/>
    <hyperlink ref="O38" r:id="rId66" xr:uid="{EFAE510A-8D53-4113-9D1D-3505C217C37C}"/>
    <hyperlink ref="O41" r:id="rId67" xr:uid="{FC1DE3C3-D166-422F-A178-C2F2BDF752FF}"/>
    <hyperlink ref="O43" r:id="rId68" xr:uid="{6F25AA1F-2B1D-4202-ACEB-84BEE3608EB1}"/>
  </hyperlinks>
  <pageMargins left="0.7" right="0.7" top="0.75" bottom="0.75" header="0.3" footer="0.3"/>
  <pageSetup paperSize="9" orientation="portrait" r:id="rId69"/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F525-F359-4DA6-9DFA-4BD0112C86EA}">
  <dimension ref="B2:C80"/>
  <sheetViews>
    <sheetView topLeftCell="A43" workbookViewId="0">
      <selection activeCell="D8" sqref="D8"/>
    </sheetView>
  </sheetViews>
  <sheetFormatPr defaultRowHeight="15" x14ac:dyDescent="0.25"/>
  <cols>
    <col min="2" max="2" width="25.28515625" bestFit="1" customWidth="1"/>
    <col min="3" max="3" width="8.7109375" bestFit="1" customWidth="1"/>
  </cols>
  <sheetData>
    <row r="2" spans="2:3" x14ac:dyDescent="0.25">
      <c r="B2" s="61" t="s">
        <v>194</v>
      </c>
      <c r="C2" s="61" t="s">
        <v>340</v>
      </c>
    </row>
    <row r="3" spans="2:3" x14ac:dyDescent="0.25">
      <c r="B3" s="62" t="s">
        <v>155</v>
      </c>
      <c r="C3" s="62">
        <v>2</v>
      </c>
    </row>
    <row r="4" spans="2:3" x14ac:dyDescent="0.25">
      <c r="B4" s="63" t="s">
        <v>156</v>
      </c>
      <c r="C4" s="63">
        <v>3</v>
      </c>
    </row>
    <row r="5" spans="2:3" x14ac:dyDescent="0.25">
      <c r="B5" s="62" t="s">
        <v>195</v>
      </c>
      <c r="C5" s="62">
        <v>15</v>
      </c>
    </row>
    <row r="6" spans="2:3" x14ac:dyDescent="0.25">
      <c r="B6" s="63" t="s">
        <v>196</v>
      </c>
      <c r="C6" s="63">
        <v>1</v>
      </c>
    </row>
    <row r="7" spans="2:3" x14ac:dyDescent="0.25">
      <c r="B7" s="62"/>
      <c r="C7" s="62">
        <v>4</v>
      </c>
    </row>
    <row r="8" spans="2:3" x14ac:dyDescent="0.25">
      <c r="B8" s="63" t="s">
        <v>197</v>
      </c>
      <c r="C8" s="63">
        <v>2</v>
      </c>
    </row>
    <row r="9" spans="2:3" x14ac:dyDescent="0.25">
      <c r="B9" s="62" t="s">
        <v>198</v>
      </c>
      <c r="C9" s="62">
        <v>10</v>
      </c>
    </row>
    <row r="10" spans="2:3" x14ac:dyDescent="0.25">
      <c r="B10" s="63" t="s">
        <v>199</v>
      </c>
      <c r="C10" s="63">
        <v>2</v>
      </c>
    </row>
    <row r="11" spans="2:3" x14ac:dyDescent="0.25">
      <c r="B11" s="62" t="s">
        <v>200</v>
      </c>
      <c r="C11" s="62">
        <v>1</v>
      </c>
    </row>
    <row r="12" spans="2:3" x14ac:dyDescent="0.25">
      <c r="B12" s="63" t="s">
        <v>201</v>
      </c>
      <c r="C12" s="63">
        <v>2</v>
      </c>
    </row>
    <row r="13" spans="2:3" x14ac:dyDescent="0.25">
      <c r="B13" s="62" t="s">
        <v>202</v>
      </c>
      <c r="C13" s="62">
        <v>2</v>
      </c>
    </row>
    <row r="14" spans="2:3" x14ac:dyDescent="0.25">
      <c r="B14" s="63" t="s">
        <v>203</v>
      </c>
      <c r="C14" s="63">
        <v>1</v>
      </c>
    </row>
    <row r="15" spans="2:3" x14ac:dyDescent="0.25">
      <c r="B15" s="62" t="s">
        <v>204</v>
      </c>
      <c r="C15" s="62">
        <v>1</v>
      </c>
    </row>
    <row r="16" spans="2:3" x14ac:dyDescent="0.25">
      <c r="B16" s="63" t="s">
        <v>205</v>
      </c>
      <c r="C16" s="63">
        <v>1</v>
      </c>
    </row>
    <row r="17" spans="2:3" x14ac:dyDescent="0.25">
      <c r="B17" s="62" t="s">
        <v>206</v>
      </c>
      <c r="C17" s="62">
        <v>1</v>
      </c>
    </row>
    <row r="18" spans="2:3" x14ac:dyDescent="0.25">
      <c r="B18" s="63" t="s">
        <v>207</v>
      </c>
      <c r="C18" s="63">
        <v>1</v>
      </c>
    </row>
    <row r="19" spans="2:3" x14ac:dyDescent="0.25">
      <c r="B19" s="62" t="s">
        <v>208</v>
      </c>
      <c r="C19" s="62">
        <v>3</v>
      </c>
    </row>
    <row r="20" spans="2:3" x14ac:dyDescent="0.25">
      <c r="B20" s="63" t="s">
        <v>209</v>
      </c>
      <c r="C20" s="63">
        <v>3</v>
      </c>
    </row>
    <row r="21" spans="2:3" x14ac:dyDescent="0.25">
      <c r="B21" s="62" t="s">
        <v>210</v>
      </c>
      <c r="C21" s="62">
        <v>4</v>
      </c>
    </row>
    <row r="22" spans="2:3" x14ac:dyDescent="0.25">
      <c r="B22" s="63" t="s">
        <v>163</v>
      </c>
      <c r="C22" s="63">
        <v>1</v>
      </c>
    </row>
    <row r="23" spans="2:3" x14ac:dyDescent="0.25">
      <c r="B23" s="62" t="s">
        <v>211</v>
      </c>
      <c r="C23" s="62">
        <v>1</v>
      </c>
    </row>
    <row r="24" spans="2:3" x14ac:dyDescent="0.25">
      <c r="B24" s="63" t="s">
        <v>212</v>
      </c>
      <c r="C24" s="63">
        <v>1</v>
      </c>
    </row>
    <row r="25" spans="2:3" x14ac:dyDescent="0.25">
      <c r="B25" s="62" t="s">
        <v>164</v>
      </c>
      <c r="C25" s="62">
        <v>1</v>
      </c>
    </row>
    <row r="26" spans="2:3" x14ac:dyDescent="0.25">
      <c r="B26" s="63" t="s">
        <v>165</v>
      </c>
      <c r="C26" s="63">
        <v>1</v>
      </c>
    </row>
    <row r="27" spans="2:3" x14ac:dyDescent="0.25">
      <c r="B27" s="62" t="s">
        <v>213</v>
      </c>
      <c r="C27" s="62">
        <v>1</v>
      </c>
    </row>
    <row r="28" spans="2:3" x14ac:dyDescent="0.25">
      <c r="B28" s="63" t="s">
        <v>166</v>
      </c>
      <c r="C28" s="63">
        <v>1</v>
      </c>
    </row>
    <row r="29" spans="2:3" x14ac:dyDescent="0.25">
      <c r="B29" s="62" t="s">
        <v>167</v>
      </c>
      <c r="C29" s="62">
        <v>1</v>
      </c>
    </row>
    <row r="30" spans="2:3" x14ac:dyDescent="0.25">
      <c r="B30" s="63" t="s">
        <v>214</v>
      </c>
      <c r="C30" s="63">
        <v>1</v>
      </c>
    </row>
    <row r="31" spans="2:3" x14ac:dyDescent="0.25">
      <c r="B31" s="62" t="s">
        <v>215</v>
      </c>
      <c r="C31" s="62">
        <v>1</v>
      </c>
    </row>
    <row r="32" spans="2:3" x14ac:dyDescent="0.25">
      <c r="B32" s="63" t="s">
        <v>216</v>
      </c>
      <c r="C32" s="63">
        <v>8</v>
      </c>
    </row>
    <row r="33" spans="2:3" x14ac:dyDescent="0.25">
      <c r="B33" s="62" t="s">
        <v>217</v>
      </c>
      <c r="C33" s="62">
        <v>1</v>
      </c>
    </row>
    <row r="34" spans="2:3" x14ac:dyDescent="0.25">
      <c r="B34" s="63" t="s">
        <v>171</v>
      </c>
      <c r="C34" s="63">
        <v>1</v>
      </c>
    </row>
    <row r="35" spans="2:3" x14ac:dyDescent="0.25">
      <c r="B35" s="62" t="s">
        <v>218</v>
      </c>
      <c r="C35" s="62">
        <v>1</v>
      </c>
    </row>
    <row r="36" spans="2:3" x14ac:dyDescent="0.25">
      <c r="B36" s="63" t="s">
        <v>173</v>
      </c>
      <c r="C36" s="63">
        <v>1</v>
      </c>
    </row>
    <row r="37" spans="2:3" x14ac:dyDescent="0.25">
      <c r="B37" s="62">
        <v>61300611121</v>
      </c>
      <c r="C37" s="62">
        <v>1</v>
      </c>
    </row>
    <row r="38" spans="2:3" x14ac:dyDescent="0.25">
      <c r="B38" s="63" t="s">
        <v>356</v>
      </c>
      <c r="C38" s="63">
        <v>2</v>
      </c>
    </row>
    <row r="39" spans="2:3" x14ac:dyDescent="0.25">
      <c r="B39" s="62" t="s">
        <v>219</v>
      </c>
      <c r="C39" s="62">
        <v>6</v>
      </c>
    </row>
    <row r="40" spans="2:3" x14ac:dyDescent="0.25">
      <c r="B40" s="63" t="s">
        <v>220</v>
      </c>
      <c r="C40" s="63">
        <v>4</v>
      </c>
    </row>
    <row r="41" spans="2:3" x14ac:dyDescent="0.25">
      <c r="B41" s="62" t="s">
        <v>178</v>
      </c>
      <c r="C41" s="62">
        <v>1</v>
      </c>
    </row>
    <row r="42" spans="2:3" x14ac:dyDescent="0.25">
      <c r="B42" s="63" t="s">
        <v>221</v>
      </c>
      <c r="C42" s="63">
        <v>1</v>
      </c>
    </row>
    <row r="43" spans="2:3" x14ac:dyDescent="0.25">
      <c r="B43" s="62" t="s">
        <v>222</v>
      </c>
      <c r="C43" s="62">
        <v>1</v>
      </c>
    </row>
    <row r="44" spans="2:3" x14ac:dyDescent="0.25">
      <c r="B44" s="63" t="s">
        <v>223</v>
      </c>
      <c r="C44" s="63">
        <v>2</v>
      </c>
    </row>
    <row r="45" spans="2:3" x14ac:dyDescent="0.25">
      <c r="B45" s="62" t="s">
        <v>224</v>
      </c>
      <c r="C45" s="62">
        <v>8</v>
      </c>
    </row>
    <row r="46" spans="2:3" x14ac:dyDescent="0.25">
      <c r="B46" s="63" t="s">
        <v>225</v>
      </c>
      <c r="C46" s="63">
        <v>1</v>
      </c>
    </row>
    <row r="47" spans="2:3" x14ac:dyDescent="0.25">
      <c r="B47" s="62" t="s">
        <v>226</v>
      </c>
      <c r="C47" s="62">
        <v>7</v>
      </c>
    </row>
    <row r="48" spans="2:3" x14ac:dyDescent="0.25">
      <c r="B48" s="63" t="s">
        <v>227</v>
      </c>
      <c r="C48" s="63">
        <v>1</v>
      </c>
    </row>
    <row r="49" spans="2:3" x14ac:dyDescent="0.25">
      <c r="B49" s="62" t="s">
        <v>228</v>
      </c>
      <c r="C49" s="62">
        <v>1</v>
      </c>
    </row>
    <row r="50" spans="2:3" x14ac:dyDescent="0.25">
      <c r="B50" s="63" t="s">
        <v>229</v>
      </c>
      <c r="C50" s="63">
        <v>1</v>
      </c>
    </row>
    <row r="51" spans="2:3" x14ac:dyDescent="0.25">
      <c r="B51" s="62" t="s">
        <v>230</v>
      </c>
      <c r="C51" s="62">
        <v>1</v>
      </c>
    </row>
    <row r="52" spans="2:3" x14ac:dyDescent="0.25">
      <c r="B52" s="63" t="s">
        <v>231</v>
      </c>
      <c r="C52" s="63">
        <v>8</v>
      </c>
    </row>
    <row r="53" spans="2:3" x14ac:dyDescent="0.25">
      <c r="B53" s="62" t="s">
        <v>181</v>
      </c>
      <c r="C53" s="62">
        <v>1</v>
      </c>
    </row>
    <row r="54" spans="2:3" x14ac:dyDescent="0.25">
      <c r="B54" s="63" t="s">
        <v>232</v>
      </c>
      <c r="C54" s="63">
        <v>3</v>
      </c>
    </row>
    <row r="55" spans="2:3" x14ac:dyDescent="0.25">
      <c r="B55" s="62" t="s">
        <v>233</v>
      </c>
      <c r="C55" s="62">
        <v>1</v>
      </c>
    </row>
    <row r="56" spans="2:3" x14ac:dyDescent="0.25">
      <c r="B56" s="63" t="s">
        <v>234</v>
      </c>
      <c r="C56" s="63">
        <v>4</v>
      </c>
    </row>
    <row r="57" spans="2:3" x14ac:dyDescent="0.25">
      <c r="B57" s="62" t="s">
        <v>235</v>
      </c>
      <c r="C57" s="62">
        <v>1</v>
      </c>
    </row>
    <row r="58" spans="2:3" x14ac:dyDescent="0.25">
      <c r="B58" s="63" t="s">
        <v>236</v>
      </c>
      <c r="C58" s="63">
        <v>1</v>
      </c>
    </row>
    <row r="59" spans="2:3" x14ac:dyDescent="0.25">
      <c r="B59" s="62"/>
      <c r="C59" s="62">
        <v>1</v>
      </c>
    </row>
    <row r="60" spans="2:3" x14ac:dyDescent="0.25">
      <c r="B60" s="63" t="s">
        <v>237</v>
      </c>
      <c r="C60" s="63">
        <v>1</v>
      </c>
    </row>
    <row r="61" spans="2:3" x14ac:dyDescent="0.25">
      <c r="B61" s="62" t="s">
        <v>238</v>
      </c>
      <c r="C61" s="62">
        <v>2</v>
      </c>
    </row>
    <row r="62" spans="2:3" x14ac:dyDescent="0.25">
      <c r="B62" s="63" t="s">
        <v>239</v>
      </c>
      <c r="C62" s="63">
        <v>1</v>
      </c>
    </row>
    <row r="63" spans="2:3" x14ac:dyDescent="0.25">
      <c r="B63" s="62" t="s">
        <v>240</v>
      </c>
      <c r="C63" s="62">
        <v>1</v>
      </c>
    </row>
    <row r="64" spans="2:3" x14ac:dyDescent="0.25">
      <c r="B64" s="63" t="s">
        <v>182</v>
      </c>
      <c r="C64" s="63">
        <v>1</v>
      </c>
    </row>
    <row r="65" spans="2:3" x14ac:dyDescent="0.25">
      <c r="B65" s="62" t="s">
        <v>183</v>
      </c>
      <c r="C65" s="62">
        <v>38</v>
      </c>
    </row>
    <row r="66" spans="2:3" x14ac:dyDescent="0.25">
      <c r="B66" s="63" t="s">
        <v>184</v>
      </c>
      <c r="C66" s="63">
        <v>2</v>
      </c>
    </row>
    <row r="67" spans="2:3" x14ac:dyDescent="0.25">
      <c r="B67" s="62" t="s">
        <v>241</v>
      </c>
      <c r="C67" s="62">
        <v>1</v>
      </c>
    </row>
    <row r="68" spans="2:3" x14ac:dyDescent="0.25">
      <c r="B68" s="63" t="s">
        <v>242</v>
      </c>
      <c r="C68" s="63">
        <v>1</v>
      </c>
    </row>
    <row r="69" spans="2:3" x14ac:dyDescent="0.25">
      <c r="B69" s="62" t="s">
        <v>243</v>
      </c>
      <c r="C69" s="62">
        <v>2</v>
      </c>
    </row>
    <row r="70" spans="2:3" x14ac:dyDescent="0.25">
      <c r="B70" s="63" t="s">
        <v>244</v>
      </c>
      <c r="C70" s="63">
        <v>1</v>
      </c>
    </row>
    <row r="71" spans="2:3" x14ac:dyDescent="0.25">
      <c r="B71" s="62" t="s">
        <v>245</v>
      </c>
      <c r="C71" s="62">
        <v>1</v>
      </c>
    </row>
    <row r="72" spans="2:3" x14ac:dyDescent="0.25">
      <c r="B72" s="63" t="s">
        <v>246</v>
      </c>
      <c r="C72" s="63">
        <v>1</v>
      </c>
    </row>
    <row r="73" spans="2:3" x14ac:dyDescent="0.25">
      <c r="B73" s="62" t="s">
        <v>247</v>
      </c>
      <c r="C73" s="62">
        <v>1</v>
      </c>
    </row>
    <row r="74" spans="2:3" x14ac:dyDescent="0.25">
      <c r="B74" s="63" t="s">
        <v>248</v>
      </c>
      <c r="C74" s="63">
        <v>1</v>
      </c>
    </row>
    <row r="75" spans="2:3" x14ac:dyDescent="0.25">
      <c r="B75" s="62" t="s">
        <v>191</v>
      </c>
      <c r="C75" s="62">
        <v>1</v>
      </c>
    </row>
    <row r="76" spans="2:3" x14ac:dyDescent="0.25">
      <c r="B76" s="63" t="s">
        <v>249</v>
      </c>
      <c r="C76" s="63">
        <v>1</v>
      </c>
    </row>
    <row r="77" spans="2:3" x14ac:dyDescent="0.25">
      <c r="B77" s="62" t="s">
        <v>250</v>
      </c>
      <c r="C77" s="62">
        <v>1</v>
      </c>
    </row>
    <row r="78" spans="2:3" x14ac:dyDescent="0.25">
      <c r="B78" s="63" t="s">
        <v>251</v>
      </c>
      <c r="C78" s="63">
        <v>1</v>
      </c>
    </row>
    <row r="79" spans="2:3" x14ac:dyDescent="0.25">
      <c r="B79" s="62" t="s">
        <v>193</v>
      </c>
      <c r="C79" s="62">
        <v>1</v>
      </c>
    </row>
    <row r="80" spans="2:3" x14ac:dyDescent="0.25">
      <c r="B80" s="63" t="s">
        <v>252</v>
      </c>
      <c r="C80" s="6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2022-10-31T08:03:40Z</dcterms:modified>
</cp:coreProperties>
</file>