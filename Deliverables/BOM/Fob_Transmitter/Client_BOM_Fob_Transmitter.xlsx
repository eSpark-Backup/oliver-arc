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-ARC\Deliverables\BOM\Fob_Transmitter\"/>
    </mc:Choice>
  </mc:AlternateContent>
  <xr:revisionPtr revIDLastSave="0" documentId="13_ncr:1_{46A0D47C-C01F-41B3-A786-BFFF733C7C12}" xr6:coauthVersionLast="47" xr6:coauthVersionMax="47" xr10:uidLastSave="{00000000-0000-0000-0000-000000000000}"/>
  <bookViews>
    <workbookView xWindow="-5805" yWindow="1965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49" i="1" l="1"/>
  <c r="B49" i="1"/>
  <c r="L48" i="1"/>
  <c r="B48" i="1"/>
  <c r="L47" i="1"/>
  <c r="B47" i="1"/>
  <c r="L46" i="1"/>
  <c r="B46" i="1"/>
  <c r="L45" i="1"/>
  <c r="B45" i="1"/>
  <c r="L44" i="1"/>
  <c r="B44" i="1"/>
  <c r="L43" i="1"/>
  <c r="B43" i="1"/>
  <c r="L42" i="1"/>
  <c r="B42" i="1"/>
  <c r="L41" i="1"/>
  <c r="B41" i="1"/>
  <c r="L40" i="1"/>
  <c r="B40" i="1"/>
  <c r="L39" i="1"/>
  <c r="B39" i="1"/>
  <c r="L38" i="1"/>
  <c r="B38" i="1"/>
  <c r="L37" i="1"/>
  <c r="B37" i="1"/>
  <c r="L36" i="1"/>
  <c r="B36" i="1"/>
  <c r="L35" i="1"/>
  <c r="B35" i="1"/>
  <c r="L34" i="1"/>
  <c r="B34" i="1"/>
  <c r="L33" i="1"/>
  <c r="B33" i="1"/>
  <c r="L32" i="1"/>
  <c r="B32" i="1"/>
  <c r="L31" i="1"/>
  <c r="B31" i="1"/>
  <c r="L30" i="1"/>
  <c r="B30" i="1"/>
  <c r="L29" i="1"/>
  <c r="B29" i="1"/>
  <c r="L28" i="1"/>
  <c r="B28" i="1"/>
  <c r="L27" i="1"/>
  <c r="B27" i="1"/>
  <c r="L26" i="1"/>
  <c r="B26" i="1"/>
  <c r="L25" i="1"/>
  <c r="B25" i="1"/>
  <c r="L24" i="1"/>
  <c r="B24" i="1"/>
  <c r="L23" i="1"/>
  <c r="B23" i="1"/>
  <c r="L22" i="1"/>
  <c r="B22" i="1"/>
  <c r="L21" i="1"/>
  <c r="B21" i="1"/>
  <c r="L20" i="1"/>
  <c r="B20" i="1"/>
  <c r="L19" i="1"/>
  <c r="B19" i="1"/>
  <c r="L18" i="1"/>
  <c r="B18" i="1"/>
  <c r="L17" i="1"/>
  <c r="B17" i="1"/>
  <c r="L16" i="1"/>
  <c r="B16" i="1"/>
  <c r="L15" i="1"/>
  <c r="B15" i="1"/>
  <c r="L14" i="1"/>
  <c r="B14" i="1"/>
  <c r="L13" i="1"/>
  <c r="B13" i="1"/>
  <c r="L12" i="1"/>
  <c r="B12" i="1"/>
  <c r="L11" i="1"/>
  <c r="L10" i="1"/>
  <c r="B11" i="1"/>
  <c r="B10" i="1"/>
</calcChain>
</file>

<file path=xl/sharedStrings.xml><?xml version="1.0" encoding="utf-8"?>
<sst xmlns="http://schemas.openxmlformats.org/spreadsheetml/2006/main" count="319" uniqueCount="210">
  <si>
    <t>Component list</t>
  </si>
  <si>
    <t>Source Data From:</t>
  </si>
  <si>
    <t>Project:</t>
  </si>
  <si>
    <t>Variant:</t>
  </si>
  <si>
    <t>#</t>
  </si>
  <si>
    <t>None</t>
  </si>
  <si>
    <t>Designator</t>
  </si>
  <si>
    <t>C1, C4, C6, C7, C11, C17, C18</t>
  </si>
  <si>
    <t>C2, C3</t>
  </si>
  <si>
    <t>C5</t>
  </si>
  <si>
    <t>C8</t>
  </si>
  <si>
    <t>C9</t>
  </si>
  <si>
    <t>C10</t>
  </si>
  <si>
    <t>C12, C13</t>
  </si>
  <si>
    <t>C14</t>
  </si>
  <si>
    <t>C15</t>
  </si>
  <si>
    <t>C16</t>
  </si>
  <si>
    <t>D1, D2, D3, D4, D5, D6, D7, D8, D9, D10, D11, D12</t>
  </si>
  <si>
    <t>J1</t>
  </si>
  <si>
    <t>J2</t>
  </si>
  <si>
    <t>J3</t>
  </si>
  <si>
    <t>L1</t>
  </si>
  <si>
    <t>L2</t>
  </si>
  <si>
    <t>LED1</t>
  </si>
  <si>
    <t>P1</t>
  </si>
  <si>
    <t>P2</t>
  </si>
  <si>
    <t>R1, R3, R4, R5, R10</t>
  </si>
  <si>
    <t>R2</t>
  </si>
  <si>
    <t>R6</t>
  </si>
  <si>
    <t>R7</t>
  </si>
  <si>
    <t>R8, R9, R15, R16</t>
  </si>
  <si>
    <t>R11</t>
  </si>
  <si>
    <t>R12</t>
  </si>
  <si>
    <t>R13</t>
  </si>
  <si>
    <t>R14</t>
  </si>
  <si>
    <t>R17</t>
  </si>
  <si>
    <t>SB1, SB2, SB3, SB4, SB5, SB6, SB7, SB8, SB9, SB10, SB11, SB12, SB13, SB14, SB15, SB16, SB17, SB18, SB19, SB20, SB21, SB22, SB23, SB24, SB25, SB26, SB27, SB28, SB29, SB30, SB31</t>
  </si>
  <si>
    <t>SW1, SW2, SW3, SW4, SW5, SW7, SW8, SW9, SW10</t>
  </si>
  <si>
    <t>SW6</t>
  </si>
  <si>
    <t>U1</t>
  </si>
  <si>
    <t>U2</t>
  </si>
  <si>
    <t>U3</t>
  </si>
  <si>
    <t>U4</t>
  </si>
  <si>
    <t>U5</t>
  </si>
  <si>
    <t>U6</t>
  </si>
  <si>
    <t>U7</t>
  </si>
  <si>
    <t>X1</t>
  </si>
  <si>
    <t>Description</t>
  </si>
  <si>
    <t>CAP CER 0.1UF 100V X7R 0603</t>
  </si>
  <si>
    <t>CAP CER 0.47uF 50V X7R 0603</t>
  </si>
  <si>
    <t>CAP CER 1UF 25V X5R 0603</t>
  </si>
  <si>
    <t>CAP CER 0.1UF 50V X5R 0603</t>
  </si>
  <si>
    <t>CAP CER 10UF 6.3V X5R 0805</t>
  </si>
  <si>
    <t>CAP CER 100PF 50V C0G/NP0 0603</t>
  </si>
  <si>
    <t>CAP CER 18PF 50V C0G/NP0 0603</t>
  </si>
  <si>
    <t>CAP CER 12PF 50V C0G/NPO 0603</t>
  </si>
  <si>
    <t>Ind Chip Wirewound 68nH 5% 200MHz 37Q-Factor Ceramic 600mA 0603 Punched Paper T/R</t>
  </si>
  <si>
    <t>CAP CER 4.7PF 100V C0G/NPO 0603</t>
  </si>
  <si>
    <t>DIODE GEN PURP 75V 150MA SOD323</t>
  </si>
  <si>
    <t>3 PIN 2.54mm 3A Female Headers ROHS</t>
  </si>
  <si>
    <t>Pin Header 5 1 right-angle</t>
  </si>
  <si>
    <t>CONN U.FL RCPT STR 50 OHM SMD</t>
  </si>
  <si>
    <t>FERRITE BEAD 600 OHM 0201 1LN</t>
  </si>
  <si>
    <t>Ind Chip Wirewound 820nH 5% 25MHz 23Q-Factor Ceramic 180mA 0805 Embossed Plastic T/R</t>
  </si>
  <si>
    <t>LED RED CLEAR CHIP SMD</t>
  </si>
  <si>
    <t>CONN HEADER VERT 2POS 2.54MM</t>
  </si>
  <si>
    <t>RES SMD 10K OHM 5% 1/10W 0603</t>
  </si>
  <si>
    <t>RES SMD 4.7K OHM 0.1% 1/10W 0603</t>
  </si>
  <si>
    <t>RES SMD 220 OHM 1% 1/10W 0603</t>
  </si>
  <si>
    <t>RES 330K OHM 1% 1/10W 0603</t>
  </si>
  <si>
    <t>RES 1.5K OHM 1% 1/10W 0603</t>
  </si>
  <si>
    <t>RES SMD 1M OHM 1% 1/10W 0603</t>
  </si>
  <si>
    <t>RES 100K OHM 1% 1/16W 0402</t>
  </si>
  <si>
    <t>RES SMD 0 OHM JUMPER 1/10W 0603</t>
  </si>
  <si>
    <t>RES SMD 4.7K OHM 5% 1/10W 0603</t>
  </si>
  <si>
    <t>RES SMD 100 OHM 1% 1/10W 0603</t>
  </si>
  <si>
    <t>Solder Bridge ON</t>
  </si>
  <si>
    <t>3mm 2mm Round Button 50mA Top3.65mm SPST 12V SMD Tactile Switches</t>
  </si>
  <si>
    <t>SWITCH SLIDE SPDT 300MA 6V</t>
  </si>
  <si>
    <t>IC REG LINEAR 3.3V 150MA 6WSON</t>
  </si>
  <si>
    <t>IC MCU 8BIT 16KB FLASH 20VQFN</t>
  </si>
  <si>
    <t>Remote Control Encoder, SMD, SOIC20</t>
  </si>
  <si>
    <t>SOT-23-6 RF Transceiver ICs ROHS</t>
  </si>
  <si>
    <t>RF Modules ROHS</t>
  </si>
  <si>
    <t>433Mhz SI4463 HC-12 Wireless Serial Port Module</t>
  </si>
  <si>
    <t>SOP-8_150mil Interface - Specialized ROHS</t>
  </si>
  <si>
    <t>13.56MHz 49S Crystals 18pF 60Ω ±20ppm -40℃~+85℃ HC-49S-2P Crystals ROHS</t>
  </si>
  <si>
    <t>Footprint</t>
  </si>
  <si>
    <t>Cap0603</t>
  </si>
  <si>
    <t>Cap-0603</t>
  </si>
  <si>
    <t>Cap-0805</t>
  </si>
  <si>
    <t>IND-0603 (1608 Metric)</t>
  </si>
  <si>
    <t>SOD-323</t>
  </si>
  <si>
    <t>DW254W-11-03-85</t>
  </si>
  <si>
    <t>HDR1X5</t>
  </si>
  <si>
    <t>IND 0201</t>
  </si>
  <si>
    <t>Ind-0805</t>
  </si>
  <si>
    <t>LED-0402</t>
  </si>
  <si>
    <t>HDR1X2</t>
  </si>
  <si>
    <t>SMD PADS (1x4) 2.54mm pitch_</t>
  </si>
  <si>
    <t>Res0603</t>
  </si>
  <si>
    <t>Res-0603</t>
  </si>
  <si>
    <t>Res-0402</t>
  </si>
  <si>
    <t>Solder Bridge</t>
  </si>
  <si>
    <t>TS-1185EC-C-D-B</t>
  </si>
  <si>
    <t>PCM12SMTR</t>
  </si>
  <si>
    <t>WSON-6</t>
  </si>
  <si>
    <t>20-QFN</t>
  </si>
  <si>
    <t>SOP-20 (300 Mil)</t>
  </si>
  <si>
    <t>SOT-23-6</t>
  </si>
  <si>
    <t>STX882S-433MHZ</t>
  </si>
  <si>
    <t>HC-12 Module</t>
  </si>
  <si>
    <t>SOP-8</t>
  </si>
  <si>
    <t>HC-49S-2P</t>
  </si>
  <si>
    <t>Manufacturer Part Number</t>
  </si>
  <si>
    <t>CC0603KRX7R0BB104</t>
  </si>
  <si>
    <t>UMK107B7474KA-TR</t>
  </si>
  <si>
    <t>CL10A105KA8NNNC</t>
  </si>
  <si>
    <t>UMK107B104KAHT</t>
  </si>
  <si>
    <t>GRM21BR60J106KE19L</t>
  </si>
  <si>
    <t>GRM1885C1H101JA01D</t>
  </si>
  <si>
    <t>CL10C180JB8NNNC</t>
  </si>
  <si>
    <t>CC0603J*NPO9B*120</t>
  </si>
  <si>
    <t>0603CS-68NXJLW</t>
  </si>
  <si>
    <t>CC0603BRNPO0BN4R7</t>
  </si>
  <si>
    <t>1N4148WS-7-F</t>
  </si>
  <si>
    <t>PZ254V-11-05P</t>
  </si>
  <si>
    <t>U.FL-R-SMT-1(80)</t>
  </si>
  <si>
    <t>MMZ0603S601CT000</t>
  </si>
  <si>
    <t>0805CS-821XJLC</t>
  </si>
  <si>
    <t>XZMDK68W-2</t>
  </si>
  <si>
    <t>AC0603JR-0710KL</t>
  </si>
  <si>
    <t>AT0603BRD074K7L</t>
  </si>
  <si>
    <t>RC0603FR-07220RL</t>
  </si>
  <si>
    <t>RC0603FR-07330KL</t>
  </si>
  <si>
    <t>RC0603FR-071K5L</t>
  </si>
  <si>
    <t>RC0603FR-071ML</t>
  </si>
  <si>
    <t>RC0402FR-07100KL</t>
  </si>
  <si>
    <t>RC0603JR-070RL</t>
  </si>
  <si>
    <t>RC0603JR-074K7L</t>
  </si>
  <si>
    <t>RC0603FR-07100RL</t>
  </si>
  <si>
    <t>LP5900SD-3.3/NOPB</t>
  </si>
  <si>
    <t>ATTINY1616-MNR</t>
  </si>
  <si>
    <t>HT12E-20SOP</t>
  </si>
  <si>
    <t>MICRF113YM6-TR</t>
  </si>
  <si>
    <t>EV1527</t>
  </si>
  <si>
    <t>9BC13560182060C3</t>
  </si>
  <si>
    <t>Manufacturer</t>
  </si>
  <si>
    <t>Yageo</t>
  </si>
  <si>
    <t>Taiyo Yuden</t>
  </si>
  <si>
    <t>Sams</t>
  </si>
  <si>
    <t>Murata</t>
  </si>
  <si>
    <t>Samsung</t>
  </si>
  <si>
    <t>Coilcraft</t>
  </si>
  <si>
    <t>Diodes</t>
  </si>
  <si>
    <t>DEALON</t>
  </si>
  <si>
    <t>XFCN</t>
  </si>
  <si>
    <t>Hirose</t>
  </si>
  <si>
    <t>TDK</t>
  </si>
  <si>
    <t>SunLED</t>
  </si>
  <si>
    <t>Wurth Electronics</t>
  </si>
  <si>
    <t>XKB</t>
  </si>
  <si>
    <t>ITT C&amp;K</t>
  </si>
  <si>
    <t>TI National Semiconductor</t>
  </si>
  <si>
    <t>Microchip</t>
  </si>
  <si>
    <t>Holtek</t>
  </si>
  <si>
    <t>G-NiceRF</t>
  </si>
  <si>
    <t>LCX</t>
  </si>
  <si>
    <t>JGHC</t>
  </si>
  <si>
    <t>0.1uF</t>
  </si>
  <si>
    <t>0.47uF</t>
  </si>
  <si>
    <t>1uF</t>
  </si>
  <si>
    <t>100nF</t>
  </si>
  <si>
    <t>10uF</t>
  </si>
  <si>
    <t>100pF</t>
  </si>
  <si>
    <t>18pF</t>
  </si>
  <si>
    <t>12pF</t>
  </si>
  <si>
    <t>68nH</t>
  </si>
  <si>
    <t>4.7pF</t>
  </si>
  <si>
    <t>10K</t>
  </si>
  <si>
    <t>4.7K</t>
  </si>
  <si>
    <t>220R</t>
  </si>
  <si>
    <t>330k</t>
  </si>
  <si>
    <t>1.5K</t>
  </si>
  <si>
    <t>1M</t>
  </si>
  <si>
    <t>100K</t>
  </si>
  <si>
    <t>0R</t>
  </si>
  <si>
    <t>100R</t>
  </si>
  <si>
    <t>13.56MHz</t>
  </si>
  <si>
    <t>Quantity</t>
  </si>
  <si>
    <t>Capacitor</t>
  </si>
  <si>
    <t>Item Type</t>
  </si>
  <si>
    <t>Alternate Part Number</t>
  </si>
  <si>
    <t xml:space="preserve">Value </t>
  </si>
  <si>
    <t>Quantity (5 Boards)</t>
  </si>
  <si>
    <t>Remarks</t>
  </si>
  <si>
    <t>Diode</t>
  </si>
  <si>
    <t>Header</t>
  </si>
  <si>
    <t>Connector</t>
  </si>
  <si>
    <t>Inductor</t>
  </si>
  <si>
    <t>LED</t>
  </si>
  <si>
    <t>SMD PAD</t>
  </si>
  <si>
    <t>Resistor</t>
  </si>
  <si>
    <t>Switch</t>
  </si>
  <si>
    <t>IC</t>
  </si>
  <si>
    <t>Crystal</t>
  </si>
  <si>
    <t>Custom</t>
  </si>
  <si>
    <t>-</t>
  </si>
  <si>
    <t>Bill of Materials for Project [Fob_Transmitter]</t>
  </si>
  <si>
    <t>[Fob_Transmitter]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</si>
</sst>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6" fillId="5" borderId="18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8" fillId="2" borderId="15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51"/>
  <sheetViews>
    <sheetView tabSelected="1" topLeftCell="F1" workbookViewId="0">
      <selection activeCell="G14" sqref="G14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4.5703125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14.7109375" bestFit="1" customWidth="1"/>
    <col min="10" max="10" width="8.140625" bestFit="1" customWidth="1"/>
    <col min="11" max="11" width="8.7109375" bestFit="1" customWidth="1"/>
    <col min="12" max="12" width="18.28515625" bestFit="1" customWidth="1"/>
    <col min="13" max="13" width="29.42578125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56"/>
      <c r="K1" s="56"/>
      <c r="L1" s="56"/>
      <c r="M1" s="56"/>
    </row>
    <row r="2" spans="1:13" ht="32.25" thickBot="1" x14ac:dyDescent="0.3">
      <c r="A2" s="1"/>
      <c r="B2" s="20"/>
      <c r="C2" s="43"/>
      <c r="D2" s="10" t="s">
        <v>0</v>
      </c>
      <c r="E2" s="10"/>
      <c r="F2" s="52" t="s">
        <v>208</v>
      </c>
      <c r="G2" s="11"/>
      <c r="H2" s="11"/>
      <c r="I2" s="3"/>
      <c r="J2" s="3"/>
      <c r="K2" s="3"/>
      <c r="L2" s="3"/>
      <c r="M2" s="40"/>
    </row>
    <row r="3" spans="1:13" x14ac:dyDescent="0.25">
      <c r="A3" s="1"/>
      <c r="B3" s="21"/>
      <c r="C3" s="44"/>
      <c r="D3" s="12" t="s">
        <v>1</v>
      </c>
      <c r="E3" s="12"/>
      <c r="F3" s="53" t="s">
        <v>209</v>
      </c>
      <c r="G3" s="12"/>
      <c r="H3" s="12"/>
      <c r="I3" s="4"/>
      <c r="J3" s="4"/>
      <c r="K3" s="4"/>
      <c r="L3" s="4"/>
      <c r="M3" s="57"/>
    </row>
    <row r="4" spans="1:13" x14ac:dyDescent="0.25">
      <c r="A4" s="1"/>
      <c r="B4" s="21"/>
      <c r="C4" s="44"/>
      <c r="D4" s="12" t="s">
        <v>2</v>
      </c>
      <c r="E4" s="12"/>
      <c r="F4" s="54" t="s">
        <v>209</v>
      </c>
      <c r="G4" s="13"/>
      <c r="H4" s="13"/>
      <c r="I4" s="6"/>
      <c r="J4" s="6"/>
      <c r="K4" s="6"/>
      <c r="L4" s="6"/>
      <c r="M4" s="58"/>
    </row>
    <row r="5" spans="1:13" x14ac:dyDescent="0.25">
      <c r="A5" s="1"/>
      <c r="B5" s="21"/>
      <c r="C5" s="44"/>
      <c r="D5" s="12" t="s">
        <v>3</v>
      </c>
      <c r="E5" s="12"/>
      <c r="F5" s="55" t="s">
        <v>5</v>
      </c>
      <c r="G5" s="14"/>
      <c r="H5" s="14"/>
      <c r="I5" s="5"/>
      <c r="J5" s="5"/>
      <c r="K5" s="5"/>
      <c r="L5" s="5"/>
      <c r="M5" s="58"/>
    </row>
    <row r="6" spans="1:13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58"/>
    </row>
    <row r="7" spans="1:13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58"/>
    </row>
    <row r="8" spans="1:13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58"/>
    </row>
    <row r="9" spans="1:13" ht="15.75" thickBot="1" x14ac:dyDescent="0.3">
      <c r="A9" s="1"/>
      <c r="B9" s="29" t="s">
        <v>4</v>
      </c>
      <c r="C9" s="29" t="s">
        <v>191</v>
      </c>
      <c r="D9" s="29" t="s">
        <v>6</v>
      </c>
      <c r="E9" s="30" t="s">
        <v>47</v>
      </c>
      <c r="F9" s="29" t="s">
        <v>87</v>
      </c>
      <c r="G9" s="30" t="s">
        <v>114</v>
      </c>
      <c r="H9" s="29" t="s">
        <v>192</v>
      </c>
      <c r="I9" s="29" t="s">
        <v>147</v>
      </c>
      <c r="J9" s="30" t="s">
        <v>193</v>
      </c>
      <c r="K9" s="29" t="s">
        <v>189</v>
      </c>
      <c r="L9" s="51" t="s">
        <v>194</v>
      </c>
      <c r="M9" s="29" t="s">
        <v>195</v>
      </c>
    </row>
    <row r="10" spans="1:13" ht="15.75" thickBot="1" x14ac:dyDescent="0.3">
      <c r="A10" s="1"/>
      <c r="B10" s="50">
        <f>ROW(B10) - ROW($B$9)</f>
        <v>1</v>
      </c>
      <c r="C10" s="59" t="s">
        <v>190</v>
      </c>
      <c r="D10" s="36" t="s">
        <v>7</v>
      </c>
      <c r="E10" s="37" t="s">
        <v>48</v>
      </c>
      <c r="F10" s="36" t="s">
        <v>88</v>
      </c>
      <c r="G10" s="37" t="s">
        <v>115</v>
      </c>
      <c r="H10" s="36" t="s">
        <v>207</v>
      </c>
      <c r="I10" s="36" t="s">
        <v>148</v>
      </c>
      <c r="J10" s="37" t="s">
        <v>169</v>
      </c>
      <c r="K10" s="36">
        <v>7</v>
      </c>
      <c r="L10" s="37">
        <f>K10*5</f>
        <v>35</v>
      </c>
      <c r="M10" s="36"/>
    </row>
    <row r="11" spans="1:13" ht="15.75" thickBot="1" x14ac:dyDescent="0.3">
      <c r="A11" s="1"/>
      <c r="B11" s="50">
        <f t="shared" ref="B11:B49" si="0">ROW(B11) - ROW($B$9)</f>
        <v>2</v>
      </c>
      <c r="C11" s="60" t="s">
        <v>190</v>
      </c>
      <c r="D11" s="38" t="s">
        <v>8</v>
      </c>
      <c r="E11" s="39" t="s">
        <v>49</v>
      </c>
      <c r="F11" s="38" t="s">
        <v>88</v>
      </c>
      <c r="G11" s="39" t="s">
        <v>116</v>
      </c>
      <c r="H11" s="38" t="s">
        <v>207</v>
      </c>
      <c r="I11" s="38" t="s">
        <v>149</v>
      </c>
      <c r="J11" s="39" t="s">
        <v>170</v>
      </c>
      <c r="K11" s="38">
        <v>2</v>
      </c>
      <c r="L11" s="39">
        <f t="shared" ref="L11" si="1">K11*5</f>
        <v>10</v>
      </c>
      <c r="M11" s="38"/>
    </row>
    <row r="12" spans="1:13" ht="15.75" thickBot="1" x14ac:dyDescent="0.3">
      <c r="A12" s="1"/>
      <c r="B12" s="50">
        <f>ROW(B12) - ROW($B$9)</f>
        <v>3</v>
      </c>
      <c r="C12" s="59" t="s">
        <v>190</v>
      </c>
      <c r="D12" s="36" t="s">
        <v>9</v>
      </c>
      <c r="E12" s="37" t="s">
        <v>50</v>
      </c>
      <c r="F12" s="36" t="s">
        <v>88</v>
      </c>
      <c r="G12" s="37" t="s">
        <v>117</v>
      </c>
      <c r="H12" s="36" t="s">
        <v>207</v>
      </c>
      <c r="I12" s="36" t="s">
        <v>150</v>
      </c>
      <c r="J12" s="37" t="s">
        <v>171</v>
      </c>
      <c r="K12" s="36">
        <v>1</v>
      </c>
      <c r="L12" s="37">
        <f>K12*5</f>
        <v>5</v>
      </c>
      <c r="M12" s="36"/>
    </row>
    <row r="13" spans="1:13" ht="15.75" thickBot="1" x14ac:dyDescent="0.3">
      <c r="A13" s="1"/>
      <c r="B13" s="50">
        <f t="shared" si="0"/>
        <v>4</v>
      </c>
      <c r="C13" s="60" t="s">
        <v>190</v>
      </c>
      <c r="D13" s="38" t="s">
        <v>10</v>
      </c>
      <c r="E13" s="39" t="s">
        <v>51</v>
      </c>
      <c r="F13" s="38" t="s">
        <v>89</v>
      </c>
      <c r="G13" s="39" t="s">
        <v>118</v>
      </c>
      <c r="H13" s="38" t="s">
        <v>207</v>
      </c>
      <c r="I13" s="38" t="s">
        <v>149</v>
      </c>
      <c r="J13" s="39" t="s">
        <v>172</v>
      </c>
      <c r="K13" s="38">
        <v>1</v>
      </c>
      <c r="L13" s="39">
        <f t="shared" ref="L13" si="2">K13*5</f>
        <v>5</v>
      </c>
      <c r="M13" s="38"/>
    </row>
    <row r="14" spans="1:13" ht="15.75" thickBot="1" x14ac:dyDescent="0.3">
      <c r="A14" s="1"/>
      <c r="B14" s="50">
        <f>ROW(B14) - ROW($B$9)</f>
        <v>5</v>
      </c>
      <c r="C14" s="59" t="s">
        <v>190</v>
      </c>
      <c r="D14" s="36" t="s">
        <v>11</v>
      </c>
      <c r="E14" s="37" t="s">
        <v>52</v>
      </c>
      <c r="F14" s="36" t="s">
        <v>90</v>
      </c>
      <c r="G14" s="37" t="s">
        <v>119</v>
      </c>
      <c r="H14" s="36" t="s">
        <v>207</v>
      </c>
      <c r="I14" s="36" t="s">
        <v>151</v>
      </c>
      <c r="J14" s="37" t="s">
        <v>173</v>
      </c>
      <c r="K14" s="36">
        <v>1</v>
      </c>
      <c r="L14" s="37">
        <f>K14*5</f>
        <v>5</v>
      </c>
      <c r="M14" s="36"/>
    </row>
    <row r="15" spans="1:13" ht="15.75" thickBot="1" x14ac:dyDescent="0.3">
      <c r="A15" s="1"/>
      <c r="B15" s="50">
        <f t="shared" si="0"/>
        <v>6</v>
      </c>
      <c r="C15" s="60" t="s">
        <v>190</v>
      </c>
      <c r="D15" s="38" t="s">
        <v>12</v>
      </c>
      <c r="E15" s="39" t="s">
        <v>53</v>
      </c>
      <c r="F15" s="38" t="s">
        <v>89</v>
      </c>
      <c r="G15" s="39" t="s">
        <v>120</v>
      </c>
      <c r="H15" s="38" t="s">
        <v>207</v>
      </c>
      <c r="I15" s="38" t="s">
        <v>151</v>
      </c>
      <c r="J15" s="39" t="s">
        <v>174</v>
      </c>
      <c r="K15" s="38">
        <v>1</v>
      </c>
      <c r="L15" s="39">
        <f t="shared" ref="L15" si="3">K15*5</f>
        <v>5</v>
      </c>
      <c r="M15" s="38"/>
    </row>
    <row r="16" spans="1:13" ht="15.75" thickBot="1" x14ac:dyDescent="0.3">
      <c r="A16" s="1"/>
      <c r="B16" s="50">
        <f>ROW(B16) - ROW($B$9)</f>
        <v>7</v>
      </c>
      <c r="C16" s="59" t="s">
        <v>190</v>
      </c>
      <c r="D16" s="36" t="s">
        <v>13</v>
      </c>
      <c r="E16" s="37" t="s">
        <v>54</v>
      </c>
      <c r="F16" s="36" t="s">
        <v>89</v>
      </c>
      <c r="G16" s="37" t="s">
        <v>121</v>
      </c>
      <c r="H16" s="36" t="s">
        <v>207</v>
      </c>
      <c r="I16" s="36" t="s">
        <v>152</v>
      </c>
      <c r="J16" s="37" t="s">
        <v>175</v>
      </c>
      <c r="K16" s="36">
        <v>2</v>
      </c>
      <c r="L16" s="37">
        <f>K16*5</f>
        <v>10</v>
      </c>
      <c r="M16" s="36"/>
    </row>
    <row r="17" spans="1:13" ht="15.75" thickBot="1" x14ac:dyDescent="0.3">
      <c r="A17" s="1"/>
      <c r="B17" s="50">
        <f t="shared" si="0"/>
        <v>8</v>
      </c>
      <c r="C17" s="60" t="s">
        <v>190</v>
      </c>
      <c r="D17" s="38" t="s">
        <v>14</v>
      </c>
      <c r="E17" s="39" t="s">
        <v>55</v>
      </c>
      <c r="F17" s="38" t="s">
        <v>89</v>
      </c>
      <c r="G17" s="39" t="s">
        <v>122</v>
      </c>
      <c r="H17" s="38" t="s">
        <v>207</v>
      </c>
      <c r="I17" s="38" t="s">
        <v>148</v>
      </c>
      <c r="J17" s="39" t="s">
        <v>176</v>
      </c>
      <c r="K17" s="38">
        <v>1</v>
      </c>
      <c r="L17" s="39">
        <f t="shared" ref="L17" si="4">K17*5</f>
        <v>5</v>
      </c>
      <c r="M17" s="38"/>
    </row>
    <row r="18" spans="1:13" ht="36.75" thickBot="1" x14ac:dyDescent="0.3">
      <c r="A18" s="1"/>
      <c r="B18" s="50">
        <f>ROW(B18) - ROW($B$9)</f>
        <v>9</v>
      </c>
      <c r="C18" s="59" t="s">
        <v>190</v>
      </c>
      <c r="D18" s="36" t="s">
        <v>15</v>
      </c>
      <c r="E18" s="37" t="s">
        <v>56</v>
      </c>
      <c r="F18" s="36" t="s">
        <v>91</v>
      </c>
      <c r="G18" s="37" t="s">
        <v>123</v>
      </c>
      <c r="H18" s="36" t="s">
        <v>207</v>
      </c>
      <c r="I18" s="36" t="s">
        <v>153</v>
      </c>
      <c r="J18" s="37" t="s">
        <v>177</v>
      </c>
      <c r="K18" s="36">
        <v>1</v>
      </c>
      <c r="L18" s="37">
        <f>K18*5</f>
        <v>5</v>
      </c>
      <c r="M18" s="36"/>
    </row>
    <row r="19" spans="1:13" ht="15.75" thickBot="1" x14ac:dyDescent="0.3">
      <c r="A19" s="1"/>
      <c r="B19" s="50">
        <f t="shared" si="0"/>
        <v>10</v>
      </c>
      <c r="C19" s="60" t="s">
        <v>190</v>
      </c>
      <c r="D19" s="38" t="s">
        <v>16</v>
      </c>
      <c r="E19" s="39" t="s">
        <v>57</v>
      </c>
      <c r="F19" s="38" t="s">
        <v>89</v>
      </c>
      <c r="G19" s="39" t="s">
        <v>124</v>
      </c>
      <c r="H19" s="38"/>
      <c r="I19" s="38" t="s">
        <v>148</v>
      </c>
      <c r="J19" s="39" t="s">
        <v>178</v>
      </c>
      <c r="K19" s="38">
        <v>1</v>
      </c>
      <c r="L19" s="39">
        <f t="shared" ref="L19" si="5">K19*5</f>
        <v>5</v>
      </c>
      <c r="M19" s="38"/>
    </row>
    <row r="20" spans="1:13" ht="24.75" thickBot="1" x14ac:dyDescent="0.3">
      <c r="A20" s="1"/>
      <c r="B20" s="50">
        <f>ROW(B20) - ROW($B$9)</f>
        <v>11</v>
      </c>
      <c r="C20" s="59" t="s">
        <v>196</v>
      </c>
      <c r="D20" s="36" t="s">
        <v>17</v>
      </c>
      <c r="E20" s="37" t="s">
        <v>58</v>
      </c>
      <c r="F20" s="36" t="s">
        <v>92</v>
      </c>
      <c r="G20" s="37" t="s">
        <v>125</v>
      </c>
      <c r="H20" s="36" t="s">
        <v>207</v>
      </c>
      <c r="I20" s="36" t="s">
        <v>154</v>
      </c>
      <c r="J20" s="37"/>
      <c r="K20" s="36">
        <v>12</v>
      </c>
      <c r="L20" s="37">
        <f>K20*5</f>
        <v>60</v>
      </c>
      <c r="M20" s="36"/>
    </row>
    <row r="21" spans="1:13" ht="24.75" thickBot="1" x14ac:dyDescent="0.3">
      <c r="A21" s="1"/>
      <c r="B21" s="50">
        <f t="shared" si="0"/>
        <v>12</v>
      </c>
      <c r="C21" s="60" t="s">
        <v>197</v>
      </c>
      <c r="D21" s="38" t="s">
        <v>18</v>
      </c>
      <c r="E21" s="39" t="s">
        <v>59</v>
      </c>
      <c r="F21" s="38" t="s">
        <v>206</v>
      </c>
      <c r="G21" s="39" t="s">
        <v>93</v>
      </c>
      <c r="H21" s="38" t="s">
        <v>207</v>
      </c>
      <c r="I21" s="38" t="s">
        <v>155</v>
      </c>
      <c r="J21" s="39"/>
      <c r="K21" s="38">
        <v>1</v>
      </c>
      <c r="L21" s="39">
        <f t="shared" ref="L21" si="6">K21*5</f>
        <v>5</v>
      </c>
      <c r="M21" s="38"/>
    </row>
    <row r="22" spans="1:13" ht="15.75" thickBot="1" x14ac:dyDescent="0.3">
      <c r="A22" s="1"/>
      <c r="B22" s="50">
        <f>ROW(B22) - ROW($B$9)</f>
        <v>13</v>
      </c>
      <c r="C22" s="59" t="s">
        <v>197</v>
      </c>
      <c r="D22" s="36" t="s">
        <v>19</v>
      </c>
      <c r="E22" s="37" t="s">
        <v>60</v>
      </c>
      <c r="F22" s="36" t="s">
        <v>94</v>
      </c>
      <c r="G22" s="37" t="s">
        <v>126</v>
      </c>
      <c r="H22" s="36" t="s">
        <v>207</v>
      </c>
      <c r="I22" s="36" t="s">
        <v>156</v>
      </c>
      <c r="J22" s="37"/>
      <c r="K22" s="36">
        <v>1</v>
      </c>
      <c r="L22" s="37">
        <f>K22*5</f>
        <v>5</v>
      </c>
      <c r="M22" s="36"/>
    </row>
    <row r="23" spans="1:13" ht="15.75" thickBot="1" x14ac:dyDescent="0.3">
      <c r="A23" s="1"/>
      <c r="B23" s="50">
        <f t="shared" si="0"/>
        <v>14</v>
      </c>
      <c r="C23" s="60" t="s">
        <v>198</v>
      </c>
      <c r="D23" s="38" t="s">
        <v>20</v>
      </c>
      <c r="E23" s="39" t="s">
        <v>61</v>
      </c>
      <c r="F23" s="38" t="s">
        <v>206</v>
      </c>
      <c r="G23" s="39" t="s">
        <v>127</v>
      </c>
      <c r="H23" s="38" t="s">
        <v>207</v>
      </c>
      <c r="I23" s="38" t="s">
        <v>157</v>
      </c>
      <c r="J23" s="39"/>
      <c r="K23" s="38">
        <v>1</v>
      </c>
      <c r="L23" s="39">
        <f t="shared" ref="L23" si="7">K23*5</f>
        <v>5</v>
      </c>
      <c r="M23" s="38"/>
    </row>
    <row r="24" spans="1:13" ht="15.75" thickBot="1" x14ac:dyDescent="0.3">
      <c r="A24" s="1"/>
      <c r="B24" s="50">
        <f>ROW(B24) - ROW($B$9)</f>
        <v>15</v>
      </c>
      <c r="C24" s="59" t="s">
        <v>199</v>
      </c>
      <c r="D24" s="36" t="s">
        <v>21</v>
      </c>
      <c r="E24" s="37" t="s">
        <v>62</v>
      </c>
      <c r="F24" s="36" t="s">
        <v>95</v>
      </c>
      <c r="G24" s="37" t="s">
        <v>128</v>
      </c>
      <c r="H24" s="36" t="s">
        <v>207</v>
      </c>
      <c r="I24" s="36" t="s">
        <v>158</v>
      </c>
      <c r="J24" s="37"/>
      <c r="K24" s="36">
        <v>1</v>
      </c>
      <c r="L24" s="37">
        <f>K24*5</f>
        <v>5</v>
      </c>
      <c r="M24" s="36"/>
    </row>
    <row r="25" spans="1:13" ht="36.75" thickBot="1" x14ac:dyDescent="0.3">
      <c r="A25" s="1"/>
      <c r="B25" s="50">
        <f t="shared" si="0"/>
        <v>16</v>
      </c>
      <c r="C25" s="60" t="s">
        <v>199</v>
      </c>
      <c r="D25" s="38" t="s">
        <v>22</v>
      </c>
      <c r="E25" s="39" t="s">
        <v>63</v>
      </c>
      <c r="F25" s="38" t="s">
        <v>96</v>
      </c>
      <c r="G25" s="39" t="s">
        <v>129</v>
      </c>
      <c r="H25" s="38" t="s">
        <v>207</v>
      </c>
      <c r="I25" s="38" t="s">
        <v>153</v>
      </c>
      <c r="J25" s="39"/>
      <c r="K25" s="38">
        <v>1</v>
      </c>
      <c r="L25" s="39">
        <f t="shared" ref="L25" si="8">K25*5</f>
        <v>5</v>
      </c>
      <c r="M25" s="38"/>
    </row>
    <row r="26" spans="1:13" ht="15.75" thickBot="1" x14ac:dyDescent="0.3">
      <c r="A26" s="1"/>
      <c r="B26" s="50">
        <f>ROW(B26) - ROW($B$9)</f>
        <v>17</v>
      </c>
      <c r="C26" s="59" t="s">
        <v>200</v>
      </c>
      <c r="D26" s="36" t="s">
        <v>23</v>
      </c>
      <c r="E26" s="37" t="s">
        <v>64</v>
      </c>
      <c r="F26" s="36" t="s">
        <v>97</v>
      </c>
      <c r="G26" s="37" t="s">
        <v>130</v>
      </c>
      <c r="H26" s="36" t="s">
        <v>207</v>
      </c>
      <c r="I26" s="36" t="s">
        <v>159</v>
      </c>
      <c r="J26" s="37"/>
      <c r="K26" s="36">
        <v>1</v>
      </c>
      <c r="L26" s="37">
        <f>K26*5</f>
        <v>5</v>
      </c>
      <c r="M26" s="36"/>
    </row>
    <row r="27" spans="1:13" ht="15.75" thickBot="1" x14ac:dyDescent="0.3">
      <c r="A27" s="1"/>
      <c r="B27" s="50">
        <f t="shared" si="0"/>
        <v>18</v>
      </c>
      <c r="C27" s="60" t="s">
        <v>197</v>
      </c>
      <c r="D27" s="38" t="s">
        <v>24</v>
      </c>
      <c r="E27" s="39" t="s">
        <v>65</v>
      </c>
      <c r="F27" s="38" t="s">
        <v>98</v>
      </c>
      <c r="G27" s="39">
        <v>61300211121</v>
      </c>
      <c r="H27" s="38" t="s">
        <v>207</v>
      </c>
      <c r="I27" s="38" t="s">
        <v>160</v>
      </c>
      <c r="J27" s="39"/>
      <c r="K27" s="38">
        <v>1</v>
      </c>
      <c r="L27" s="39">
        <f t="shared" ref="L27" si="9">K27*5</f>
        <v>5</v>
      </c>
      <c r="M27" s="38"/>
    </row>
    <row r="28" spans="1:13" ht="15.75" thickBot="1" x14ac:dyDescent="0.3">
      <c r="A28" s="1"/>
      <c r="B28" s="50">
        <f>ROW(B28) - ROW($B$9)</f>
        <v>19</v>
      </c>
      <c r="C28" s="59" t="s">
        <v>201</v>
      </c>
      <c r="D28" s="36" t="s">
        <v>25</v>
      </c>
      <c r="E28" s="37" t="s">
        <v>207</v>
      </c>
      <c r="F28" s="36" t="s">
        <v>206</v>
      </c>
      <c r="G28" s="36" t="s">
        <v>99</v>
      </c>
      <c r="H28" s="36" t="s">
        <v>207</v>
      </c>
      <c r="I28" s="36" t="s">
        <v>207</v>
      </c>
      <c r="J28" s="37"/>
      <c r="K28" s="36">
        <v>1</v>
      </c>
      <c r="L28" s="37">
        <f>K28*5</f>
        <v>5</v>
      </c>
      <c r="M28" s="36"/>
    </row>
    <row r="29" spans="1:13" ht="15.75" thickBot="1" x14ac:dyDescent="0.3">
      <c r="A29" s="1"/>
      <c r="B29" s="50">
        <f t="shared" si="0"/>
        <v>20</v>
      </c>
      <c r="C29" s="60" t="s">
        <v>202</v>
      </c>
      <c r="D29" s="38" t="s">
        <v>26</v>
      </c>
      <c r="E29" s="39" t="s">
        <v>66</v>
      </c>
      <c r="F29" s="38" t="s">
        <v>100</v>
      </c>
      <c r="G29" s="39" t="s">
        <v>131</v>
      </c>
      <c r="H29" s="38" t="s">
        <v>207</v>
      </c>
      <c r="I29" s="38" t="s">
        <v>148</v>
      </c>
      <c r="J29" s="39" t="s">
        <v>179</v>
      </c>
      <c r="K29" s="38">
        <v>5</v>
      </c>
      <c r="L29" s="39">
        <f t="shared" ref="L29" si="10">K29*5</f>
        <v>25</v>
      </c>
      <c r="M29" s="38"/>
    </row>
    <row r="30" spans="1:13" ht="15.75" thickBot="1" x14ac:dyDescent="0.3">
      <c r="A30" s="1"/>
      <c r="B30" s="50">
        <f>ROW(B30) - ROW($B$9)</f>
        <v>21</v>
      </c>
      <c r="C30" s="59" t="s">
        <v>202</v>
      </c>
      <c r="D30" s="36" t="s">
        <v>27</v>
      </c>
      <c r="E30" s="37" t="s">
        <v>67</v>
      </c>
      <c r="F30" s="36" t="s">
        <v>100</v>
      </c>
      <c r="G30" s="37" t="s">
        <v>132</v>
      </c>
      <c r="H30" s="36" t="s">
        <v>207</v>
      </c>
      <c r="I30" s="36" t="s">
        <v>148</v>
      </c>
      <c r="J30" s="37" t="s">
        <v>180</v>
      </c>
      <c r="K30" s="36">
        <v>1</v>
      </c>
      <c r="L30" s="37">
        <f>K30*5</f>
        <v>5</v>
      </c>
      <c r="M30" s="36"/>
    </row>
    <row r="31" spans="1:13" ht="15.75" thickBot="1" x14ac:dyDescent="0.3">
      <c r="A31" s="1"/>
      <c r="B31" s="50">
        <f t="shared" si="0"/>
        <v>22</v>
      </c>
      <c r="C31" s="60" t="s">
        <v>202</v>
      </c>
      <c r="D31" s="38" t="s">
        <v>28</v>
      </c>
      <c r="E31" s="39" t="s">
        <v>68</v>
      </c>
      <c r="F31" s="38" t="s">
        <v>101</v>
      </c>
      <c r="G31" s="39" t="s">
        <v>133</v>
      </c>
      <c r="H31" s="38" t="s">
        <v>207</v>
      </c>
      <c r="I31" s="38" t="s">
        <v>148</v>
      </c>
      <c r="J31" s="39" t="s">
        <v>181</v>
      </c>
      <c r="K31" s="38">
        <v>1</v>
      </c>
      <c r="L31" s="39">
        <f t="shared" ref="L31" si="11">K31*5</f>
        <v>5</v>
      </c>
      <c r="M31" s="38"/>
    </row>
    <row r="32" spans="1:13" ht="15.75" thickBot="1" x14ac:dyDescent="0.3">
      <c r="A32" s="1"/>
      <c r="B32" s="50">
        <f>ROW(B32) - ROW($B$9)</f>
        <v>23</v>
      </c>
      <c r="C32" s="59" t="s">
        <v>202</v>
      </c>
      <c r="D32" s="36" t="s">
        <v>29</v>
      </c>
      <c r="E32" s="37" t="s">
        <v>69</v>
      </c>
      <c r="F32" s="36" t="s">
        <v>101</v>
      </c>
      <c r="G32" s="37" t="s">
        <v>134</v>
      </c>
      <c r="H32" s="36" t="s">
        <v>207</v>
      </c>
      <c r="I32" s="36" t="s">
        <v>148</v>
      </c>
      <c r="J32" s="37" t="s">
        <v>182</v>
      </c>
      <c r="K32" s="36">
        <v>1</v>
      </c>
      <c r="L32" s="37">
        <f>K32*5</f>
        <v>5</v>
      </c>
      <c r="M32" s="36"/>
    </row>
    <row r="33" spans="1:13" ht="15.75" thickBot="1" x14ac:dyDescent="0.3">
      <c r="A33" s="1"/>
      <c r="B33" s="50">
        <f t="shared" si="0"/>
        <v>24</v>
      </c>
      <c r="C33" s="60" t="s">
        <v>202</v>
      </c>
      <c r="D33" s="38" t="s">
        <v>30</v>
      </c>
      <c r="E33" s="39" t="s">
        <v>70</v>
      </c>
      <c r="F33" s="38" t="s">
        <v>101</v>
      </c>
      <c r="G33" s="39" t="s">
        <v>135</v>
      </c>
      <c r="H33" s="38" t="s">
        <v>207</v>
      </c>
      <c r="I33" s="38" t="s">
        <v>148</v>
      </c>
      <c r="J33" s="39" t="s">
        <v>183</v>
      </c>
      <c r="K33" s="38">
        <v>4</v>
      </c>
      <c r="L33" s="39">
        <f t="shared" ref="L33" si="12">K33*5</f>
        <v>20</v>
      </c>
      <c r="M33" s="38"/>
    </row>
    <row r="34" spans="1:13" ht="15.75" thickBot="1" x14ac:dyDescent="0.3">
      <c r="A34" s="1"/>
      <c r="B34" s="50">
        <f>ROW(B34) - ROW($B$9)</f>
        <v>25</v>
      </c>
      <c r="C34" s="59" t="s">
        <v>202</v>
      </c>
      <c r="D34" s="36" t="s">
        <v>31</v>
      </c>
      <c r="E34" s="37" t="s">
        <v>71</v>
      </c>
      <c r="F34" s="36" t="s">
        <v>100</v>
      </c>
      <c r="G34" s="37" t="s">
        <v>136</v>
      </c>
      <c r="H34" s="36" t="s">
        <v>207</v>
      </c>
      <c r="I34" s="36" t="s">
        <v>148</v>
      </c>
      <c r="J34" s="37" t="s">
        <v>184</v>
      </c>
      <c r="K34" s="36">
        <v>1</v>
      </c>
      <c r="L34" s="37">
        <f>K34*5</f>
        <v>5</v>
      </c>
      <c r="M34" s="36"/>
    </row>
    <row r="35" spans="1:13" ht="15.75" thickBot="1" x14ac:dyDescent="0.3">
      <c r="A35" s="1"/>
      <c r="B35" s="50">
        <f t="shared" si="0"/>
        <v>26</v>
      </c>
      <c r="C35" s="60" t="s">
        <v>202</v>
      </c>
      <c r="D35" s="38" t="s">
        <v>32</v>
      </c>
      <c r="E35" s="39" t="s">
        <v>72</v>
      </c>
      <c r="F35" s="38" t="s">
        <v>102</v>
      </c>
      <c r="G35" s="39" t="s">
        <v>137</v>
      </c>
      <c r="H35" s="38" t="s">
        <v>207</v>
      </c>
      <c r="I35" s="38" t="s">
        <v>148</v>
      </c>
      <c r="J35" s="39" t="s">
        <v>185</v>
      </c>
      <c r="K35" s="38">
        <v>1</v>
      </c>
      <c r="L35" s="39">
        <f t="shared" ref="L35" si="13">K35*5</f>
        <v>5</v>
      </c>
      <c r="M35" s="38"/>
    </row>
    <row r="36" spans="1:13" ht="15.75" thickBot="1" x14ac:dyDescent="0.3">
      <c r="A36" s="1"/>
      <c r="B36" s="50">
        <f>ROW(B36) - ROW($B$9)</f>
        <v>27</v>
      </c>
      <c r="C36" s="59" t="s">
        <v>202</v>
      </c>
      <c r="D36" s="36" t="s">
        <v>33</v>
      </c>
      <c r="E36" s="37" t="s">
        <v>73</v>
      </c>
      <c r="F36" s="36" t="s">
        <v>101</v>
      </c>
      <c r="G36" s="37" t="s">
        <v>138</v>
      </c>
      <c r="H36" s="36" t="s">
        <v>207</v>
      </c>
      <c r="I36" s="36" t="s">
        <v>148</v>
      </c>
      <c r="J36" s="37" t="s">
        <v>186</v>
      </c>
      <c r="K36" s="36">
        <v>1</v>
      </c>
      <c r="L36" s="37">
        <f>K36*5</f>
        <v>5</v>
      </c>
      <c r="M36" s="36"/>
    </row>
    <row r="37" spans="1:13" ht="15.75" thickBot="1" x14ac:dyDescent="0.3">
      <c r="A37" s="1"/>
      <c r="B37" s="50">
        <f t="shared" si="0"/>
        <v>28</v>
      </c>
      <c r="C37" s="60" t="s">
        <v>202</v>
      </c>
      <c r="D37" s="38" t="s">
        <v>34</v>
      </c>
      <c r="E37" s="39" t="s">
        <v>74</v>
      </c>
      <c r="F37" s="38" t="s">
        <v>101</v>
      </c>
      <c r="G37" s="39" t="s">
        <v>139</v>
      </c>
      <c r="H37" s="38" t="s">
        <v>207</v>
      </c>
      <c r="I37" s="38" t="s">
        <v>148</v>
      </c>
      <c r="J37" s="39" t="s">
        <v>180</v>
      </c>
      <c r="K37" s="38">
        <v>1</v>
      </c>
      <c r="L37" s="39">
        <f t="shared" ref="L37" si="14">K37*5</f>
        <v>5</v>
      </c>
      <c r="M37" s="38"/>
    </row>
    <row r="38" spans="1:13" ht="15.75" thickBot="1" x14ac:dyDescent="0.3">
      <c r="A38" s="1"/>
      <c r="B38" s="50">
        <f>ROW(B38) - ROW($B$9)</f>
        <v>29</v>
      </c>
      <c r="C38" s="59" t="s">
        <v>202</v>
      </c>
      <c r="D38" s="36" t="s">
        <v>35</v>
      </c>
      <c r="E38" s="37" t="s">
        <v>75</v>
      </c>
      <c r="F38" s="36" t="s">
        <v>101</v>
      </c>
      <c r="G38" s="37" t="s">
        <v>140</v>
      </c>
      <c r="H38" s="36" t="s">
        <v>207</v>
      </c>
      <c r="I38" s="36" t="s">
        <v>148</v>
      </c>
      <c r="J38" s="37" t="s">
        <v>187</v>
      </c>
      <c r="K38" s="36">
        <v>1</v>
      </c>
      <c r="L38" s="37">
        <f>K38*5</f>
        <v>5</v>
      </c>
      <c r="M38" s="36"/>
    </row>
    <row r="39" spans="1:13" ht="60.75" thickBot="1" x14ac:dyDescent="0.3">
      <c r="A39" s="1"/>
      <c r="B39" s="50">
        <f t="shared" si="0"/>
        <v>30</v>
      </c>
      <c r="C39" s="60" t="s">
        <v>103</v>
      </c>
      <c r="D39" s="38" t="s">
        <v>36</v>
      </c>
      <c r="E39" s="39" t="s">
        <v>76</v>
      </c>
      <c r="F39" s="38" t="s">
        <v>206</v>
      </c>
      <c r="G39" s="38" t="s">
        <v>103</v>
      </c>
      <c r="H39" s="38" t="s">
        <v>207</v>
      </c>
      <c r="I39" s="38" t="s">
        <v>207</v>
      </c>
      <c r="J39" s="39"/>
      <c r="K39" s="38">
        <v>31</v>
      </c>
      <c r="L39" s="39">
        <f t="shared" ref="L39" si="15">K39*5</f>
        <v>155</v>
      </c>
      <c r="M39" s="38"/>
    </row>
    <row r="40" spans="1:13" ht="36.75" thickBot="1" x14ac:dyDescent="0.3">
      <c r="A40" s="1"/>
      <c r="B40" s="50">
        <f>ROW(B40) - ROW($B$9)</f>
        <v>31</v>
      </c>
      <c r="C40" s="59" t="s">
        <v>203</v>
      </c>
      <c r="D40" s="36" t="s">
        <v>37</v>
      </c>
      <c r="E40" s="37" t="s">
        <v>77</v>
      </c>
      <c r="F40" s="36" t="s">
        <v>206</v>
      </c>
      <c r="G40" s="36" t="s">
        <v>104</v>
      </c>
      <c r="H40" s="36" t="s">
        <v>207</v>
      </c>
      <c r="I40" s="36" t="s">
        <v>161</v>
      </c>
      <c r="J40" s="37"/>
      <c r="K40" s="36">
        <v>9</v>
      </c>
      <c r="L40" s="37">
        <f>K40*5</f>
        <v>45</v>
      </c>
      <c r="M40" s="36"/>
    </row>
    <row r="41" spans="1:13" ht="15.75" thickBot="1" x14ac:dyDescent="0.3">
      <c r="A41" s="1"/>
      <c r="B41" s="50">
        <f t="shared" si="0"/>
        <v>32</v>
      </c>
      <c r="C41" s="60" t="s">
        <v>203</v>
      </c>
      <c r="D41" s="38" t="s">
        <v>38</v>
      </c>
      <c r="E41" s="39" t="s">
        <v>78</v>
      </c>
      <c r="F41" s="38" t="s">
        <v>206</v>
      </c>
      <c r="G41" s="39" t="s">
        <v>105</v>
      </c>
      <c r="H41" s="38" t="s">
        <v>207</v>
      </c>
      <c r="I41" s="38" t="s">
        <v>162</v>
      </c>
      <c r="J41" s="39"/>
      <c r="K41" s="38">
        <v>1</v>
      </c>
      <c r="L41" s="39">
        <f t="shared" ref="L41" si="16">K41*5</f>
        <v>5</v>
      </c>
      <c r="M41" s="38"/>
    </row>
    <row r="42" spans="1:13" ht="24.75" thickBot="1" x14ac:dyDescent="0.3">
      <c r="A42" s="1"/>
      <c r="B42" s="50">
        <f>ROW(B42) - ROW($B$9)</f>
        <v>33</v>
      </c>
      <c r="C42" s="59" t="s">
        <v>204</v>
      </c>
      <c r="D42" s="36" t="s">
        <v>39</v>
      </c>
      <c r="E42" s="37" t="s">
        <v>79</v>
      </c>
      <c r="F42" s="36" t="s">
        <v>106</v>
      </c>
      <c r="G42" s="37" t="s">
        <v>141</v>
      </c>
      <c r="H42" s="36" t="s">
        <v>207</v>
      </c>
      <c r="I42" s="36" t="s">
        <v>163</v>
      </c>
      <c r="J42" s="37"/>
      <c r="K42" s="36">
        <v>1</v>
      </c>
      <c r="L42" s="37">
        <f>K42*5</f>
        <v>5</v>
      </c>
      <c r="M42" s="36"/>
    </row>
    <row r="43" spans="1:13" ht="15.75" thickBot="1" x14ac:dyDescent="0.3">
      <c r="A43" s="1"/>
      <c r="B43" s="50">
        <f t="shared" si="0"/>
        <v>34</v>
      </c>
      <c r="C43" s="60" t="s">
        <v>204</v>
      </c>
      <c r="D43" s="38" t="s">
        <v>40</v>
      </c>
      <c r="E43" s="39" t="s">
        <v>80</v>
      </c>
      <c r="F43" s="38" t="s">
        <v>107</v>
      </c>
      <c r="G43" s="39" t="s">
        <v>142</v>
      </c>
      <c r="H43" s="38" t="s">
        <v>207</v>
      </c>
      <c r="I43" s="38" t="s">
        <v>164</v>
      </c>
      <c r="J43" s="39"/>
      <c r="K43" s="38">
        <v>1</v>
      </c>
      <c r="L43" s="39">
        <f t="shared" ref="L43" si="17">K43*5</f>
        <v>5</v>
      </c>
      <c r="M43" s="38"/>
    </row>
    <row r="44" spans="1:13" ht="24.75" thickBot="1" x14ac:dyDescent="0.3">
      <c r="A44" s="1"/>
      <c r="B44" s="50">
        <f>ROW(B44) - ROW($B$9)</f>
        <v>35</v>
      </c>
      <c r="C44" s="59" t="s">
        <v>204</v>
      </c>
      <c r="D44" s="36" t="s">
        <v>41</v>
      </c>
      <c r="E44" s="37" t="s">
        <v>81</v>
      </c>
      <c r="F44" s="36" t="s">
        <v>108</v>
      </c>
      <c r="G44" s="37" t="s">
        <v>143</v>
      </c>
      <c r="H44" s="36" t="s">
        <v>207</v>
      </c>
      <c r="I44" s="36" t="s">
        <v>165</v>
      </c>
      <c r="J44" s="37"/>
      <c r="K44" s="36">
        <v>1</v>
      </c>
      <c r="L44" s="37">
        <f>K44*5</f>
        <v>5</v>
      </c>
      <c r="M44" s="36"/>
    </row>
    <row r="45" spans="1:13" ht="15.75" thickBot="1" x14ac:dyDescent="0.3">
      <c r="A45" s="1"/>
      <c r="B45" s="50">
        <f t="shared" si="0"/>
        <v>36</v>
      </c>
      <c r="C45" s="60" t="s">
        <v>204</v>
      </c>
      <c r="D45" s="38" t="s">
        <v>42</v>
      </c>
      <c r="E45" s="39" t="s">
        <v>82</v>
      </c>
      <c r="F45" s="38" t="s">
        <v>109</v>
      </c>
      <c r="G45" s="39" t="s">
        <v>144</v>
      </c>
      <c r="H45" s="38" t="s">
        <v>207</v>
      </c>
      <c r="I45" s="38" t="s">
        <v>164</v>
      </c>
      <c r="J45" s="39"/>
      <c r="K45" s="38">
        <v>1</v>
      </c>
      <c r="L45" s="39">
        <f t="shared" ref="L45" si="18">K45*5</f>
        <v>5</v>
      </c>
      <c r="M45" s="38"/>
    </row>
    <row r="46" spans="1:13" ht="15.75" thickBot="1" x14ac:dyDescent="0.3">
      <c r="A46" s="1"/>
      <c r="B46" s="50">
        <f>ROW(B46) - ROW($B$9)</f>
        <v>37</v>
      </c>
      <c r="C46" s="59" t="s">
        <v>204</v>
      </c>
      <c r="D46" s="36" t="s">
        <v>43</v>
      </c>
      <c r="E46" s="37" t="s">
        <v>83</v>
      </c>
      <c r="F46" s="36" t="s">
        <v>206</v>
      </c>
      <c r="G46" s="37" t="s">
        <v>110</v>
      </c>
      <c r="H46" s="36" t="s">
        <v>207</v>
      </c>
      <c r="I46" s="36" t="s">
        <v>166</v>
      </c>
      <c r="J46" s="37"/>
      <c r="K46" s="36">
        <v>1</v>
      </c>
      <c r="L46" s="37">
        <f>K46*5</f>
        <v>5</v>
      </c>
      <c r="M46" s="36"/>
    </row>
    <row r="47" spans="1:13" ht="24.75" thickBot="1" x14ac:dyDescent="0.3">
      <c r="A47" s="1"/>
      <c r="B47" s="50">
        <f t="shared" si="0"/>
        <v>38</v>
      </c>
      <c r="C47" s="60" t="s">
        <v>204</v>
      </c>
      <c r="D47" s="38" t="s">
        <v>44</v>
      </c>
      <c r="E47" s="39" t="s">
        <v>84</v>
      </c>
      <c r="F47" s="38" t="s">
        <v>206</v>
      </c>
      <c r="G47" s="38" t="s">
        <v>111</v>
      </c>
      <c r="H47" s="38" t="s">
        <v>207</v>
      </c>
      <c r="I47" s="38" t="s">
        <v>207</v>
      </c>
      <c r="J47" s="39"/>
      <c r="K47" s="38">
        <v>1</v>
      </c>
      <c r="L47" s="39">
        <f t="shared" ref="L47" si="19">K47*5</f>
        <v>5</v>
      </c>
      <c r="M47" s="38"/>
    </row>
    <row r="48" spans="1:13" ht="24.75" thickBot="1" x14ac:dyDescent="0.3">
      <c r="A48" s="1"/>
      <c r="B48" s="50">
        <f>ROW(B48) - ROW($B$9)</f>
        <v>39</v>
      </c>
      <c r="C48" s="59" t="s">
        <v>204</v>
      </c>
      <c r="D48" s="36" t="s">
        <v>45</v>
      </c>
      <c r="E48" s="37" t="s">
        <v>85</v>
      </c>
      <c r="F48" s="36" t="s">
        <v>112</v>
      </c>
      <c r="G48" s="37" t="s">
        <v>145</v>
      </c>
      <c r="H48" s="36" t="s">
        <v>207</v>
      </c>
      <c r="I48" s="36" t="s">
        <v>167</v>
      </c>
      <c r="J48" s="37"/>
      <c r="K48" s="36">
        <v>1</v>
      </c>
      <c r="L48" s="37">
        <f>K48*5</f>
        <v>5</v>
      </c>
      <c r="M48" s="36"/>
    </row>
    <row r="49" spans="1:13" ht="36.75" thickBot="1" x14ac:dyDescent="0.3">
      <c r="A49" s="1"/>
      <c r="B49" s="50">
        <f t="shared" si="0"/>
        <v>40</v>
      </c>
      <c r="C49" s="60" t="s">
        <v>205</v>
      </c>
      <c r="D49" s="38" t="s">
        <v>46</v>
      </c>
      <c r="E49" s="39" t="s">
        <v>86</v>
      </c>
      <c r="F49" s="38" t="s">
        <v>113</v>
      </c>
      <c r="G49" s="39" t="s">
        <v>146</v>
      </c>
      <c r="H49" s="38" t="s">
        <v>207</v>
      </c>
      <c r="I49" s="38" t="s">
        <v>168</v>
      </c>
      <c r="J49" s="39" t="s">
        <v>188</v>
      </c>
      <c r="K49" s="38">
        <v>1</v>
      </c>
      <c r="L49" s="39">
        <f t="shared" ref="L49" si="20">K49*5</f>
        <v>5</v>
      </c>
      <c r="M49" s="38"/>
    </row>
    <row r="50" spans="1:13" x14ac:dyDescent="0.25">
      <c r="A50" s="1"/>
      <c r="B50" s="31"/>
      <c r="C50" s="48"/>
      <c r="D50" s="32"/>
      <c r="E50" s="33"/>
      <c r="F50" s="34"/>
      <c r="G50" s="35"/>
      <c r="H50" s="35"/>
      <c r="I50" s="34"/>
      <c r="J50" s="35"/>
      <c r="K50" s="35"/>
      <c r="L50" s="35"/>
      <c r="M50" s="41"/>
    </row>
    <row r="51" spans="1:13" ht="15.75" thickBot="1" x14ac:dyDescent="0.3">
      <c r="A51" s="1"/>
      <c r="B51" s="24"/>
      <c r="C51" s="49"/>
      <c r="D51" s="8"/>
      <c r="E51" s="9"/>
      <c r="F51" s="9"/>
      <c r="G51" s="9"/>
      <c r="H51" s="9"/>
      <c r="I51" s="9"/>
      <c r="J51" s="9"/>
      <c r="K51" s="9"/>
      <c r="L51" s="9"/>
      <c r="M51" s="42"/>
    </row>
  </sheetData>
  <mergeCells count="2">
    <mergeCell ref="J1:M1"/>
    <mergeCell ref="M3:M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2022-10-21T16:27:23Z</dcterms:modified>
</cp:coreProperties>
</file>