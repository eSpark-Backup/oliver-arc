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 codeName="ThisWorkbook"/>
  <mc:AlternateContent xmlns:mc="http://schemas.openxmlformats.org/markup-compatibility/2006">
    <mc:Choice Requires="x15">
      <x15ac:absPath xmlns:x15ac="http://schemas.microsoft.com/office/spreadsheetml/2010/11/ac" url="C:\GitHub\Oliver-ARC\Deliverables\BOM\Fob_Transmitter\"/>
    </mc:Choice>
  </mc:AlternateContent>
  <xr:revisionPtr revIDLastSave="0" documentId="13_ncr:1_{6379AB4D-83CD-4ACA-B3D2-7134E5C3A453}" xr6:coauthVersionLast="47" xr6:coauthVersionMax="47" xr10:uidLastSave="{00000000-0000-0000-0000-000000000000}"/>
  <bookViews>
    <workbookView xWindow="13170" yWindow="240" windowWidth="11790" windowHeight="15360" xr2:uid="{00000000-000D-0000-FFFF-FFFF00000000}"/>
  </bookViews>
  <sheets>
    <sheet name="Sheet1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Q11" i="1" l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8" i="1"/>
  <c r="Q29" i="1"/>
  <c r="Q30" i="1"/>
  <c r="Q31" i="1"/>
  <c r="Q32" i="1"/>
  <c r="Q33" i="1"/>
  <c r="Q34" i="1"/>
  <c r="Q35" i="1"/>
  <c r="Q36" i="1"/>
  <c r="Q38" i="1"/>
  <c r="Q39" i="1"/>
  <c r="Q40" i="1"/>
  <c r="Q41" i="1"/>
  <c r="Q42" i="1"/>
  <c r="Q43" i="1"/>
  <c r="Q44" i="1"/>
  <c r="Q48" i="1" s="1"/>
  <c r="Q49" i="1" s="1"/>
  <c r="Q45" i="1"/>
  <c r="Q46" i="1"/>
  <c r="Q47" i="1"/>
  <c r="Q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10" i="1"/>
  <c r="B47" i="1" l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</calcChain>
</file>

<file path=xl/sharedStrings.xml><?xml version="1.0" encoding="utf-8"?>
<sst xmlns="http://schemas.openxmlformats.org/spreadsheetml/2006/main" count="408" uniqueCount="249">
  <si>
    <t>Component list</t>
  </si>
  <si>
    <t>Source Data From:</t>
  </si>
  <si>
    <t>Project:</t>
  </si>
  <si>
    <t>Variant:</t>
  </si>
  <si>
    <t>#</t>
  </si>
  <si>
    <t>None</t>
  </si>
  <si>
    <t>Designator</t>
  </si>
  <si>
    <t>C2, C3</t>
  </si>
  <si>
    <t>C5</t>
  </si>
  <si>
    <t>C9</t>
  </si>
  <si>
    <t>C10</t>
  </si>
  <si>
    <t>C12, C13</t>
  </si>
  <si>
    <t>C14</t>
  </si>
  <si>
    <t>C15</t>
  </si>
  <si>
    <t>C16</t>
  </si>
  <si>
    <t>D1, D2, D3, D4, D5, D6, D7, D8, D9, D10, D11, D12</t>
  </si>
  <si>
    <t>J1</t>
  </si>
  <si>
    <t>J2</t>
  </si>
  <si>
    <t>J3</t>
  </si>
  <si>
    <t>L1</t>
  </si>
  <si>
    <t>L2</t>
  </si>
  <si>
    <t>LED1</t>
  </si>
  <si>
    <t>P1</t>
  </si>
  <si>
    <t>P2</t>
  </si>
  <si>
    <t>R1, R3, R4, R5, R10</t>
  </si>
  <si>
    <t>R6</t>
  </si>
  <si>
    <t>R7</t>
  </si>
  <si>
    <t>R8, R9, R15, R16</t>
  </si>
  <si>
    <t>R11</t>
  </si>
  <si>
    <t>R12</t>
  </si>
  <si>
    <t>R13</t>
  </si>
  <si>
    <t>R17</t>
  </si>
  <si>
    <t>SB1, SB2, SB3, SB4, SB5, SB6, SB7, SB8, SB9, SB10, SB11, SB12, SB13, SB14, SB15, SB16, SB17, SB18, SB19, SB20, SB21, SB22, SB23, SB24, SB25, SB26, SB27, SB28, SB29, SB30, SB31</t>
  </si>
  <si>
    <t>SW1, SW2, SW3, SW4, SW5, SW7, SW8, SW9, SW10</t>
  </si>
  <si>
    <t>SW6</t>
  </si>
  <si>
    <t>U1</t>
  </si>
  <si>
    <t>U2</t>
  </si>
  <si>
    <t>U3</t>
  </si>
  <si>
    <t>U4</t>
  </si>
  <si>
    <t>U5</t>
  </si>
  <si>
    <t>U6</t>
  </si>
  <si>
    <t>U7</t>
  </si>
  <si>
    <t>X1</t>
  </si>
  <si>
    <t>Description</t>
  </si>
  <si>
    <t>CAP CER 0.1UF 100V X7R 0603</t>
  </si>
  <si>
    <t>CAP CER 0.47uF 50V X7R 0603</t>
  </si>
  <si>
    <t>CAP CER 1UF 25V X5R 0603</t>
  </si>
  <si>
    <t>CAP CER 10UF 6.3V X5R 0805</t>
  </si>
  <si>
    <t>CAP CER 100PF 50V C0G/NP0 0603</t>
  </si>
  <si>
    <t>CAP CER 18PF 50V C0G/NP0 0603</t>
  </si>
  <si>
    <t>CAP CER 12PF 50V C0G/NPO 0603</t>
  </si>
  <si>
    <t>Ind Chip Wirewound 68nH 5% 200MHz 37Q-Factor Ceramic 600mA 0603 Punched Paper T/R</t>
  </si>
  <si>
    <t>CAP CER 4.7PF 100V C0G/NPO 0603</t>
  </si>
  <si>
    <t>DIODE GEN PURP 75V 150MA SOD323</t>
  </si>
  <si>
    <t>3 PIN 2.54mm 3A Female Headers ROHS</t>
  </si>
  <si>
    <t>Pin Header 5 1 right-angle</t>
  </si>
  <si>
    <t>CONN U.FL RCPT STR 50 OHM SMD</t>
  </si>
  <si>
    <t>FERRITE BEAD 600 OHM 0201 1LN</t>
  </si>
  <si>
    <t>Ind Chip Wirewound 820nH 5% 25MHz 23Q-Factor Ceramic 180mA 0805 Embossed Plastic T/R</t>
  </si>
  <si>
    <t>LED RED CLEAR CHIP SMD</t>
  </si>
  <si>
    <t>CONN HEADER VERT 2POS 2.54MM</t>
  </si>
  <si>
    <t>RES SMD 10K OHM 5% 1/10W 0603</t>
  </si>
  <si>
    <t>RES SMD 220 OHM 1% 1/10W 0603</t>
  </si>
  <si>
    <t>RES 330K OHM 1% 1/10W 0603</t>
  </si>
  <si>
    <t>RES 1.5K OHM 1% 1/10W 0603</t>
  </si>
  <si>
    <t>RES SMD 1M OHM 1% 1/10W 0603</t>
  </si>
  <si>
    <t>RES 100K OHM 1% 1/16W 0402</t>
  </si>
  <si>
    <t>RES SMD 0 OHM JUMPER 1/10W 0603</t>
  </si>
  <si>
    <t>RES SMD 4.7K OHM 5% 1/10W 0603</t>
  </si>
  <si>
    <t>RES SMD 100 OHM 1% 1/10W 0603</t>
  </si>
  <si>
    <t>Solder Bridge ON</t>
  </si>
  <si>
    <t>3mm 2mm Round Button 50mA Top3.65mm SPST 12V SMD Tactile Switches</t>
  </si>
  <si>
    <t>SWITCH SLIDE SPDT 300MA 6V</t>
  </si>
  <si>
    <t>IC REG LINEAR 3.3V 150MA 6WSON</t>
  </si>
  <si>
    <t>IC MCU 8BIT 16KB FLASH 20VQFN</t>
  </si>
  <si>
    <t>Remote Control Encoder, SMD, SOIC20</t>
  </si>
  <si>
    <t>SOT-23-6 RF Transceiver ICs ROHS</t>
  </si>
  <si>
    <t>RF Modules ROHS</t>
  </si>
  <si>
    <t>433Mhz SI4463 HC-12 Wireless Serial Port Module</t>
  </si>
  <si>
    <t>SOP-8_150mil Interface - Specialized ROHS</t>
  </si>
  <si>
    <t>13.56MHz 49S Crystals 18pF 60Ω ±20ppm -40℃~+85℃ HC-49S-2P Crystals ROHS</t>
  </si>
  <si>
    <t>Footprint</t>
  </si>
  <si>
    <t>Cap0603</t>
  </si>
  <si>
    <t>Cap-0603</t>
  </si>
  <si>
    <t>Cap-0805</t>
  </si>
  <si>
    <t>IND-0603 (1608 Metric)</t>
  </si>
  <si>
    <t>SOD-323</t>
  </si>
  <si>
    <t>DW254W-11-03-85</t>
  </si>
  <si>
    <t>HDR1X5</t>
  </si>
  <si>
    <t>IND 0201</t>
  </si>
  <si>
    <t>Ind-0805</t>
  </si>
  <si>
    <t>LED-0402</t>
  </si>
  <si>
    <t>HDR1X2</t>
  </si>
  <si>
    <t>SMD PADS (1x4) 2.54mm pitch_</t>
  </si>
  <si>
    <t>Res0603</t>
  </si>
  <si>
    <t>Res-0603</t>
  </si>
  <si>
    <t>Res-0402</t>
  </si>
  <si>
    <t>Solder Bridge</t>
  </si>
  <si>
    <t>TS-1185EC-C-D-B</t>
  </si>
  <si>
    <t>PCM12SMTR</t>
  </si>
  <si>
    <t>WSON-6</t>
  </si>
  <si>
    <t>20-QFN</t>
  </si>
  <si>
    <t>SOP-20 (300 Mil)</t>
  </si>
  <si>
    <t>SOT-23-6</t>
  </si>
  <si>
    <t>STX882S-433MHZ</t>
  </si>
  <si>
    <t>HC-12 Module</t>
  </si>
  <si>
    <t>SOP-8</t>
  </si>
  <si>
    <t>HC-49S-2P</t>
  </si>
  <si>
    <t>Manufacturer Part Number</t>
  </si>
  <si>
    <t>CC0603KRX7R0BB104</t>
  </si>
  <si>
    <t>UMK107B7474KA-TR</t>
  </si>
  <si>
    <t>CL10A105KA8NNNC</t>
  </si>
  <si>
    <t>GRM21BR60J106KE19L</t>
  </si>
  <si>
    <t>GRM1885C1H101JA01D</t>
  </si>
  <si>
    <t>CL10C180JB8NNNC</t>
  </si>
  <si>
    <t>0603CS-68NXJLW</t>
  </si>
  <si>
    <t>CC0603BRNPO0BN4R7</t>
  </si>
  <si>
    <t>1N4148WS-7-F</t>
  </si>
  <si>
    <t>PZ254V-11-05P</t>
  </si>
  <si>
    <t>U.FL-R-SMT-1(80)</t>
  </si>
  <si>
    <t>MMZ0603S601CT000</t>
  </si>
  <si>
    <t>0805CS-821XJLC</t>
  </si>
  <si>
    <t>XZMDK68W-2</t>
  </si>
  <si>
    <t>AC0603JR-0710KL</t>
  </si>
  <si>
    <t>RC0603FR-07220RL</t>
  </si>
  <si>
    <t>RC0603FR-07330KL</t>
  </si>
  <si>
    <t>RC0603FR-071K5L</t>
  </si>
  <si>
    <t>RC0603FR-071ML</t>
  </si>
  <si>
    <t>RC0402FR-07100KL</t>
  </si>
  <si>
    <t>RC0603JR-070RL</t>
  </si>
  <si>
    <t>RC0603JR-074K7L</t>
  </si>
  <si>
    <t>RC0603FR-07100RL</t>
  </si>
  <si>
    <t>LP5900SD-3.3/NOPB</t>
  </si>
  <si>
    <t>ATTINY1616-MNR</t>
  </si>
  <si>
    <t>HT12E-20SOP</t>
  </si>
  <si>
    <t>MICRF113YM6-TR</t>
  </si>
  <si>
    <t>EV1527</t>
  </si>
  <si>
    <t>9BC13560182060C3</t>
  </si>
  <si>
    <t>Manufacturer</t>
  </si>
  <si>
    <t>Yageo</t>
  </si>
  <si>
    <t>Taiyo Yuden</t>
  </si>
  <si>
    <t>Sams</t>
  </si>
  <si>
    <t>Murata</t>
  </si>
  <si>
    <t>Samsung</t>
  </si>
  <si>
    <t>Coilcraft</t>
  </si>
  <si>
    <t>Diodes</t>
  </si>
  <si>
    <t>DEALON</t>
  </si>
  <si>
    <t>XFCN</t>
  </si>
  <si>
    <t>Hirose</t>
  </si>
  <si>
    <t>TDK</t>
  </si>
  <si>
    <t>SunLED</t>
  </si>
  <si>
    <t>Wurth Electronics</t>
  </si>
  <si>
    <t>XKB</t>
  </si>
  <si>
    <t>ITT C&amp;K</t>
  </si>
  <si>
    <t>TI National Semiconductor</t>
  </si>
  <si>
    <t>Microchip</t>
  </si>
  <si>
    <t>Holtek</t>
  </si>
  <si>
    <t>G-NiceRF</t>
  </si>
  <si>
    <t>LCX</t>
  </si>
  <si>
    <t>JGHC</t>
  </si>
  <si>
    <t>0.1uF</t>
  </si>
  <si>
    <t>0.47uF</t>
  </si>
  <si>
    <t>1uF</t>
  </si>
  <si>
    <t>10uF</t>
  </si>
  <si>
    <t>100pF</t>
  </si>
  <si>
    <t>18pF</t>
  </si>
  <si>
    <t>12pF</t>
  </si>
  <si>
    <t>68nH</t>
  </si>
  <si>
    <t>4.7pF</t>
  </si>
  <si>
    <t>10K</t>
  </si>
  <si>
    <t>4.7K</t>
  </si>
  <si>
    <t>220R</t>
  </si>
  <si>
    <t>330k</t>
  </si>
  <si>
    <t>1.5K</t>
  </si>
  <si>
    <t>1M</t>
  </si>
  <si>
    <t>100K</t>
  </si>
  <si>
    <t>0R</t>
  </si>
  <si>
    <t>100R</t>
  </si>
  <si>
    <t>13.56MHz</t>
  </si>
  <si>
    <t>Quantity</t>
  </si>
  <si>
    <t>Item Type</t>
  </si>
  <si>
    <t>Capacitor</t>
  </si>
  <si>
    <t>Diode</t>
  </si>
  <si>
    <t>Header</t>
  </si>
  <si>
    <t>Connector</t>
  </si>
  <si>
    <t>Inductor</t>
  </si>
  <si>
    <t>LED</t>
  </si>
  <si>
    <t>SMD PAD</t>
  </si>
  <si>
    <t>Resistor</t>
  </si>
  <si>
    <t>Switch</t>
  </si>
  <si>
    <t>IC</t>
  </si>
  <si>
    <t>Crystal</t>
  </si>
  <si>
    <t>Custom</t>
  </si>
  <si>
    <t>Alternate Part Number</t>
  </si>
  <si>
    <t>-</t>
  </si>
  <si>
    <t>LCSC/Part Number</t>
  </si>
  <si>
    <t xml:space="preserve">Value </t>
  </si>
  <si>
    <t>Quantity (5 Boards)</t>
  </si>
  <si>
    <t>MOQ (5 Boards)</t>
  </si>
  <si>
    <t>Links</t>
  </si>
  <si>
    <t>Unit Cost (5 Boards)</t>
  </si>
  <si>
    <t>Total Cost (5 Boards)</t>
  </si>
  <si>
    <t>Remarks</t>
  </si>
  <si>
    <t>Reviewer Remarks</t>
  </si>
  <si>
    <t>C113803</t>
  </si>
  <si>
    <t>LCSC</t>
  </si>
  <si>
    <t>C92847</t>
  </si>
  <si>
    <t>C5673</t>
  </si>
  <si>
    <t>C77070</t>
  </si>
  <si>
    <t>C71664</t>
  </si>
  <si>
    <t>C1647</t>
  </si>
  <si>
    <t>C60580</t>
  </si>
  <si>
    <t>C2935993</t>
  </si>
  <si>
    <t>C492404</t>
  </si>
  <si>
    <t>C88374</t>
  </si>
  <si>
    <t>C275404</t>
  </si>
  <si>
    <t>C140867</t>
  </si>
  <si>
    <t>C107696</t>
  </si>
  <si>
    <t>C114618</t>
  </si>
  <si>
    <t>C114668</t>
  </si>
  <si>
    <t>C105578</t>
  </si>
  <si>
    <t>C60491</t>
  </si>
  <si>
    <t>C95177</t>
  </si>
  <si>
    <t>C105428</t>
  </si>
  <si>
    <t>C105588</t>
  </si>
  <si>
    <t>C318893</t>
  </si>
  <si>
    <t>C221841</t>
  </si>
  <si>
    <t>C131975</t>
  </si>
  <si>
    <t>C507118</t>
  </si>
  <si>
    <t>C481380</t>
  </si>
  <si>
    <t>C108704</t>
  </si>
  <si>
    <t>C2715873</t>
  </si>
  <si>
    <t>CC0603JRNPO9BN120</t>
  </si>
  <si>
    <t>C107034</t>
  </si>
  <si>
    <t>C527037</t>
  </si>
  <si>
    <t>C965790</t>
  </si>
  <si>
    <t>C492401</t>
  </si>
  <si>
    <t>820nH</t>
  </si>
  <si>
    <t>C1, C4, C6, C8, C7, C11, C17, C18</t>
  </si>
  <si>
    <t>R2, R14</t>
  </si>
  <si>
    <t>CC0603CRNPO0BN4R7</t>
  </si>
  <si>
    <t>XL-1005SURC</t>
  </si>
  <si>
    <t xml:space="preserve">Total Component Cost </t>
  </si>
  <si>
    <t>Single Board Cost</t>
  </si>
  <si>
    <t>Need Custom Supplier Quotation</t>
  </si>
  <si>
    <t>C5126754</t>
  </si>
  <si>
    <t>DO NOT MOUNT</t>
  </si>
  <si>
    <t>Bill of Materials for Project [Fob_Transmitter.]</t>
  </si>
  <si>
    <t>[Fob_Transmitter]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</si>
</sst>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h:mm:ss\ AM/PM;@"/>
    <numFmt numFmtId="165" formatCode="&quot;$&quot;#,##0.0000"/>
    <numFmt numFmtId="166" formatCode="&quot;$&quot;#,##0.00"/>
  </numFmts>
  <fonts count="25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24"/>
      <color indexed="10"/>
      <name val="Arial"/>
      <family val="2"/>
    </font>
    <font>
      <b/>
      <sz val="12"/>
      <color indexed="13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12"/>
      <color theme="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9"/>
      <color theme="0"/>
      <name val="Arial"/>
      <family val="2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  <font>
      <u/>
      <sz val="11"/>
      <color theme="10"/>
      <name val="Calibri"/>
      <family val="2"/>
      <scheme val="minor"/>
    </font>
    <font>
      <strike/>
      <sz val="9"/>
      <color rgb="FFFF000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trike/>
      <sz val="10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</fills>
  <borders count="2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0" fillId="0" borderId="0" applyNumberFormat="0" applyFill="0" applyBorder="0" applyAlignment="0" applyProtection="0"/>
  </cellStyleXfs>
  <cellXfs count="87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3" fillId="3" borderId="13" xfId="0" applyFont="1" applyFill="1" applyBorder="1" applyAlignment="1">
      <alignment vertical="center"/>
    </xf>
    <xf numFmtId="0" fontId="7" fillId="3" borderId="12" xfId="0" applyFont="1" applyFill="1" applyBorder="1" applyAlignment="1">
      <alignment vertical="center"/>
    </xf>
    <xf numFmtId="0" fontId="8" fillId="3" borderId="0" xfId="0" applyFont="1" applyFill="1"/>
    <xf numFmtId="0" fontId="9" fillId="3" borderId="5" xfId="0" applyFont="1" applyFill="1" applyBorder="1"/>
    <xf numFmtId="0" fontId="9" fillId="3" borderId="6" xfId="0" applyFont="1" applyFill="1" applyBorder="1"/>
    <xf numFmtId="0" fontId="10" fillId="3" borderId="0" xfId="0" applyFont="1" applyFill="1"/>
    <xf numFmtId="0" fontId="11" fillId="3" borderId="3" xfId="0" applyFont="1" applyFill="1" applyBorder="1" applyAlignment="1" applyProtection="1">
      <alignment horizontal="left" vertical="top"/>
      <protection locked="0"/>
    </xf>
    <xf numFmtId="0" fontId="12" fillId="3" borderId="3" xfId="0" applyFont="1" applyFill="1" applyBorder="1" applyAlignment="1" applyProtection="1">
      <alignment horizontal="left" vertical="top"/>
      <protection locked="0"/>
    </xf>
    <xf numFmtId="0" fontId="14" fillId="3" borderId="11" xfId="0" applyFont="1" applyFill="1" applyBorder="1" applyAlignment="1">
      <alignment vertical="center"/>
    </xf>
    <xf numFmtId="0" fontId="15" fillId="3" borderId="12" xfId="0" applyFont="1" applyFill="1" applyBorder="1" applyAlignment="1">
      <alignment vertical="center"/>
    </xf>
    <xf numFmtId="0" fontId="11" fillId="3" borderId="0" xfId="0" applyFont="1" applyFill="1"/>
    <xf numFmtId="0" fontId="13" fillId="3" borderId="6" xfId="0" applyFont="1" applyFill="1" applyBorder="1"/>
    <xf numFmtId="0" fontId="13" fillId="3" borderId="5" xfId="0" applyFont="1" applyFill="1" applyBorder="1"/>
    <xf numFmtId="0" fontId="11" fillId="3" borderId="5" xfId="0" applyFont="1" applyFill="1" applyBorder="1"/>
    <xf numFmtId="0" fontId="13" fillId="3" borderId="5" xfId="0" applyFont="1" applyFill="1" applyBorder="1" applyAlignment="1">
      <alignment horizontal="left"/>
    </xf>
    <xf numFmtId="0" fontId="16" fillId="3" borderId="0" xfId="0" applyFont="1" applyFill="1"/>
    <xf numFmtId="0" fontId="13" fillId="3" borderId="1" xfId="0" applyFont="1" applyFill="1" applyBorder="1" applyAlignment="1">
      <alignment horizontal="left"/>
    </xf>
    <xf numFmtId="0" fontId="1" fillId="2" borderId="0" xfId="0" applyFont="1" applyFill="1" applyAlignment="1">
      <alignment horizontal="center"/>
    </xf>
    <xf numFmtId="0" fontId="2" fillId="3" borderId="10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0" fontId="13" fillId="3" borderId="14" xfId="0" applyFont="1" applyFill="1" applyBorder="1" applyAlignment="1" applyProtection="1">
      <alignment horizontal="center" vertical="top"/>
      <protection locked="0"/>
    </xf>
    <xf numFmtId="0" fontId="0" fillId="0" borderId="0" xfId="0" applyAlignment="1">
      <alignment horizontal="center"/>
    </xf>
    <xf numFmtId="0" fontId="5" fillId="3" borderId="7" xfId="0" applyFont="1" applyFill="1" applyBorder="1" applyAlignment="1">
      <alignment horizontal="center"/>
    </xf>
    <xf numFmtId="0" fontId="13" fillId="3" borderId="0" xfId="0" applyFont="1" applyFill="1"/>
    <xf numFmtId="164" fontId="13" fillId="3" borderId="0" xfId="0" applyNumberFormat="1" applyFont="1" applyFill="1" applyAlignment="1">
      <alignment horizontal="left"/>
    </xf>
    <xf numFmtId="0" fontId="17" fillId="5" borderId="15" xfId="0" applyFont="1" applyFill="1" applyBorder="1" applyAlignment="1">
      <alignment horizontal="center" vertical="center"/>
    </xf>
    <xf numFmtId="0" fontId="17" fillId="5" borderId="12" xfId="0" applyFont="1" applyFill="1" applyBorder="1" applyAlignment="1">
      <alignment horizontal="center" vertical="center"/>
    </xf>
    <xf numFmtId="0" fontId="17" fillId="5" borderId="13" xfId="0" applyFont="1" applyFill="1" applyBorder="1" applyAlignment="1">
      <alignment horizontal="center" vertical="center"/>
    </xf>
    <xf numFmtId="0" fontId="11" fillId="3" borderId="10" xfId="0" applyFont="1" applyFill="1" applyBorder="1" applyAlignment="1" applyProtection="1">
      <alignment horizontal="center" vertical="center"/>
      <protection locked="0"/>
    </xf>
    <xf numFmtId="0" fontId="11" fillId="3" borderId="11" xfId="0" applyFont="1" applyFill="1" applyBorder="1" applyAlignment="1" applyProtection="1">
      <alignment vertical="center"/>
      <protection locked="0"/>
    </xf>
    <xf numFmtId="0" fontId="12" fillId="3" borderId="11" xfId="0" applyFont="1" applyFill="1" applyBorder="1" applyAlignment="1" applyProtection="1">
      <alignment horizontal="left" vertical="center"/>
      <protection locked="0"/>
    </xf>
    <xf numFmtId="0" fontId="0" fillId="3" borderId="11" xfId="0" applyFill="1" applyBorder="1" applyAlignment="1">
      <alignment vertical="center"/>
    </xf>
    <xf numFmtId="0" fontId="0" fillId="3" borderId="11" xfId="0" applyFill="1" applyBorder="1"/>
    <xf numFmtId="0" fontId="11" fillId="5" borderId="15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11" fillId="3" borderId="11" xfId="0" applyFont="1" applyFill="1" applyBorder="1" applyAlignment="1" applyProtection="1">
      <alignment horizontal="center" vertical="center"/>
      <protection locked="0"/>
    </xf>
    <xf numFmtId="0" fontId="13" fillId="3" borderId="3" xfId="0" applyFont="1" applyFill="1" applyBorder="1" applyAlignment="1" applyProtection="1">
      <alignment horizontal="center" vertical="top"/>
      <protection locked="0"/>
    </xf>
    <xf numFmtId="0" fontId="18" fillId="2" borderId="16" xfId="0" applyFont="1" applyFill="1" applyBorder="1" applyAlignment="1">
      <alignment horizontal="center" vertical="center" wrapText="1"/>
    </xf>
    <xf numFmtId="0" fontId="18" fillId="2" borderId="5" xfId="0" applyFont="1" applyFill="1" applyBorder="1" applyAlignment="1">
      <alignment horizontal="center" vertical="center" wrapText="1"/>
    </xf>
    <xf numFmtId="0" fontId="18" fillId="2" borderId="18" xfId="0" applyFont="1" applyFill="1" applyBorder="1" applyAlignment="1">
      <alignment horizontal="center" vertical="center" wrapText="1"/>
    </xf>
    <xf numFmtId="0" fontId="18" fillId="4" borderId="17" xfId="0" applyFont="1" applyFill="1" applyBorder="1" applyAlignment="1">
      <alignment horizontal="center" vertical="center" wrapText="1"/>
    </xf>
    <xf numFmtId="0" fontId="18" fillId="4" borderId="6" xfId="0" applyFont="1" applyFill="1" applyBorder="1" applyAlignment="1">
      <alignment horizontal="center" vertical="center" wrapText="1"/>
    </xf>
    <xf numFmtId="0" fontId="18" fillId="4" borderId="19" xfId="0" applyFont="1" applyFill="1" applyBorder="1" applyAlignment="1">
      <alignment horizontal="center" vertical="center" wrapText="1"/>
    </xf>
    <xf numFmtId="165" fontId="18" fillId="2" borderId="16" xfId="0" applyNumberFormat="1" applyFont="1" applyFill="1" applyBorder="1" applyAlignment="1">
      <alignment horizontal="center" vertical="center" wrapText="1"/>
    </xf>
    <xf numFmtId="165" fontId="18" fillId="4" borderId="17" xfId="0" applyNumberFormat="1" applyFont="1" applyFill="1" applyBorder="1" applyAlignment="1">
      <alignment horizontal="center" vertical="center" wrapText="1"/>
    </xf>
    <xf numFmtId="0" fontId="15" fillId="3" borderId="12" xfId="0" quotePrefix="1" applyFont="1" applyFill="1" applyBorder="1" applyAlignment="1">
      <alignment vertical="center"/>
    </xf>
    <xf numFmtId="0" fontId="11" fillId="3" borderId="0" xfId="0" quotePrefix="1" applyFont="1" applyFill="1" applyAlignment="1">
      <alignment horizontal="left"/>
    </xf>
    <xf numFmtId="0" fontId="11" fillId="3" borderId="6" xfId="0" quotePrefix="1" applyFont="1" applyFill="1" applyBorder="1" applyAlignment="1">
      <alignment horizontal="left"/>
    </xf>
    <xf numFmtId="0" fontId="11" fillId="3" borderId="5" xfId="0" quotePrefix="1" applyFont="1" applyFill="1" applyBorder="1" applyAlignment="1">
      <alignment horizontal="left"/>
    </xf>
    <xf numFmtId="0" fontId="19" fillId="2" borderId="16" xfId="0" applyFont="1" applyFill="1" applyBorder="1" applyAlignment="1">
      <alignment horizontal="center" vertical="center" wrapText="1"/>
    </xf>
    <xf numFmtId="0" fontId="19" fillId="4" borderId="17" xfId="0" applyFont="1" applyFill="1" applyBorder="1" applyAlignment="1">
      <alignment horizontal="center" vertical="center" wrapText="1"/>
    </xf>
    <xf numFmtId="0" fontId="18" fillId="4" borderId="21" xfId="0" applyFont="1" applyFill="1" applyBorder="1" applyAlignment="1">
      <alignment horizontal="center" vertical="center" wrapText="1"/>
    </xf>
    <xf numFmtId="0" fontId="20" fillId="2" borderId="16" xfId="1" applyFill="1" applyBorder="1" applyAlignment="1">
      <alignment horizontal="center" vertical="center" wrapText="1"/>
    </xf>
    <xf numFmtId="0" fontId="20" fillId="4" borderId="17" xfId="1" applyFill="1" applyBorder="1" applyAlignment="1">
      <alignment horizontal="center" vertical="center" wrapText="1"/>
    </xf>
    <xf numFmtId="0" fontId="21" fillId="4" borderId="6" xfId="0" applyFont="1" applyFill="1" applyBorder="1" applyAlignment="1">
      <alignment horizontal="center" vertical="center" wrapText="1"/>
    </xf>
    <xf numFmtId="0" fontId="21" fillId="2" borderId="5" xfId="0" applyFont="1" applyFill="1" applyBorder="1" applyAlignment="1">
      <alignment horizontal="center" vertical="center" wrapText="1"/>
    </xf>
    <xf numFmtId="0" fontId="19" fillId="2" borderId="17" xfId="0" applyFont="1" applyFill="1" applyBorder="1" applyAlignment="1">
      <alignment horizontal="center" vertical="center" wrapText="1"/>
    </xf>
    <xf numFmtId="0" fontId="18" fillId="2" borderId="17" xfId="0" applyFont="1" applyFill="1" applyBorder="1" applyAlignment="1">
      <alignment horizontal="center" vertical="center" wrapText="1"/>
    </xf>
    <xf numFmtId="0" fontId="18" fillId="2" borderId="6" xfId="0" applyFont="1" applyFill="1" applyBorder="1" applyAlignment="1">
      <alignment horizontal="center" vertical="center" wrapText="1"/>
    </xf>
    <xf numFmtId="0" fontId="20" fillId="2" borderId="17" xfId="1" applyFill="1" applyBorder="1" applyAlignment="1">
      <alignment horizontal="center" vertical="center" wrapText="1"/>
    </xf>
    <xf numFmtId="165" fontId="18" fillId="2" borderId="17" xfId="0" applyNumberFormat="1" applyFont="1" applyFill="1" applyBorder="1" applyAlignment="1">
      <alignment horizontal="center" vertical="center" wrapText="1"/>
    </xf>
    <xf numFmtId="0" fontId="18" fillId="2" borderId="19" xfId="0" applyFont="1" applyFill="1" applyBorder="1" applyAlignment="1">
      <alignment horizontal="center" vertical="center" wrapText="1"/>
    </xf>
    <xf numFmtId="166" fontId="15" fillId="3" borderId="15" xfId="0" quotePrefix="1" applyNumberFormat="1" applyFont="1" applyFill="1" applyBorder="1" applyAlignment="1">
      <alignment horizontal="center" vertical="center" wrapText="1"/>
    </xf>
    <xf numFmtId="166" fontId="15" fillId="3" borderId="23" xfId="0" applyNumberFormat="1" applyFont="1" applyFill="1" applyBorder="1" applyAlignment="1">
      <alignment horizontal="center" vertical="center"/>
    </xf>
    <xf numFmtId="0" fontId="23" fillId="2" borderId="18" xfId="0" applyFont="1" applyFill="1" applyBorder="1" applyAlignment="1">
      <alignment horizontal="center" vertical="center" wrapText="1"/>
    </xf>
    <xf numFmtId="0" fontId="23" fillId="4" borderId="18" xfId="0" applyFont="1" applyFill="1" applyBorder="1" applyAlignment="1">
      <alignment horizontal="center" vertical="center" wrapText="1"/>
    </xf>
    <xf numFmtId="0" fontId="24" fillId="4" borderId="19" xfId="0" applyFont="1" applyFill="1" applyBorder="1" applyAlignment="1">
      <alignment horizontal="center" vertical="center" wrapText="1"/>
    </xf>
    <xf numFmtId="0" fontId="24" fillId="2" borderId="1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0" fontId="17" fillId="3" borderId="11" xfId="0" applyFont="1" applyFill="1" applyBorder="1" applyAlignment="1">
      <alignment horizontal="center" vertical="center" wrapText="1"/>
    </xf>
    <xf numFmtId="0" fontId="17" fillId="3" borderId="8" xfId="0" applyFont="1" applyFill="1" applyBorder="1" applyAlignment="1">
      <alignment horizontal="center" vertical="center" wrapText="1"/>
    </xf>
    <xf numFmtId="0" fontId="17" fillId="3" borderId="3" xfId="0" applyFont="1" applyFill="1" applyBorder="1" applyAlignment="1">
      <alignment horizontal="center" vertical="center" wrapText="1"/>
    </xf>
    <xf numFmtId="0" fontId="17" fillId="3" borderId="20" xfId="0" applyFont="1" applyFill="1" applyBorder="1" applyAlignment="1">
      <alignment horizontal="center" vertical="center" wrapText="1"/>
    </xf>
    <xf numFmtId="0" fontId="22" fillId="3" borderId="22" xfId="0" applyFont="1" applyFill="1" applyBorder="1" applyAlignment="1" applyProtection="1">
      <alignment horizontal="center" vertical="top"/>
      <protection locked="0"/>
    </xf>
    <xf numFmtId="0" fontId="22" fillId="3" borderId="12" xfId="0" applyFont="1" applyFill="1" applyBorder="1" applyAlignment="1" applyProtection="1">
      <alignment horizontal="center" vertical="top"/>
      <protection locked="0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9525</xdr:colOff>
      <xdr:row>2</xdr:row>
      <xdr:rowOff>10417</xdr:rowOff>
    </xdr:from>
    <xdr:to>
      <xdr:col>18</xdr:col>
      <xdr:colOff>1724025</xdr:colOff>
      <xdr:row>7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9927550" y="620017"/>
          <a:ext cx="1714500" cy="11040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lcsc.com/product-detail/Chip-Resistor-Surface-Mount_YAGEO-RC0603FR-07220RL_C107696.html" TargetMode="External"/><Relationship Id="rId18" Type="http://schemas.openxmlformats.org/officeDocument/2006/relationships/hyperlink" Target="https://www.lcsc.com/product-detail/Chip-Resistor-Surface-Mount_YAGEO-RC0603JR-070RL_C95177.html" TargetMode="External"/><Relationship Id="rId26" Type="http://schemas.openxmlformats.org/officeDocument/2006/relationships/hyperlink" Target="https://www.lcsc.com/product-detail/Interface-Specialized_LCX-Shenzhen-LCHSTAR-Elec-EV1527_C108704.html" TargetMode="External"/><Relationship Id="rId3" Type="http://schemas.openxmlformats.org/officeDocument/2006/relationships/hyperlink" Target="https://www.lcsc.com/product-detail/Multilayer-Ceramic-Capacitors-MLCC-SMD-SMT_Samsung-Electro-Mechanics-CL10A105KA8NNNC_C5673.html" TargetMode="External"/><Relationship Id="rId21" Type="http://schemas.openxmlformats.org/officeDocument/2006/relationships/hyperlink" Target="https://www.lcsc.com/product-detail/Tactile-Switches_XKB-Connectivity-TS-1185EC-C-D-B_C318893.html" TargetMode="External"/><Relationship Id="rId34" Type="http://schemas.openxmlformats.org/officeDocument/2006/relationships/drawing" Target="../drawings/drawing1.xml"/><Relationship Id="rId7" Type="http://schemas.openxmlformats.org/officeDocument/2006/relationships/hyperlink" Target="https://lcsc.com/product-detail/Switching-Diode_Diodes-Incorporated-1N4148WS-7-F_C60580.html" TargetMode="External"/><Relationship Id="rId12" Type="http://schemas.openxmlformats.org/officeDocument/2006/relationships/hyperlink" Target="https://www.lcsc.com/product-detail/Chip-Resistor-Surface-Mount_YAGEO-AC0603JR-0710KL_C140867.html" TargetMode="External"/><Relationship Id="rId17" Type="http://schemas.openxmlformats.org/officeDocument/2006/relationships/hyperlink" Target="https://www.lcsc.com/product-detail/Chip-Resistor-Surface-Mount_YAGEO-RC0402FR-07100KL_C60491.html" TargetMode="External"/><Relationship Id="rId25" Type="http://schemas.openxmlformats.org/officeDocument/2006/relationships/hyperlink" Target="https://www.lcsc.com/product-detail/RF-Transceiver-ICs_Microchip-Tech-MICRF113YM6-TR_C481380.html" TargetMode="External"/><Relationship Id="rId33" Type="http://schemas.openxmlformats.org/officeDocument/2006/relationships/printerSettings" Target="../printerSettings/printerSettings1.bin"/><Relationship Id="rId2" Type="http://schemas.openxmlformats.org/officeDocument/2006/relationships/hyperlink" Target="https://www.lcsc.com/product-detail/Multilayer-Ceramic-Capacitors-MLCC-SMD-SMT_Taiyo-Yuden-UMK107B7474KA-TR_C92847.html" TargetMode="External"/><Relationship Id="rId16" Type="http://schemas.openxmlformats.org/officeDocument/2006/relationships/hyperlink" Target="https://www.lcsc.com/product-detail/Chip-Resistor-Surface-Mount_YAGEO-RC0603FR-071ML_C105578.html" TargetMode="External"/><Relationship Id="rId20" Type="http://schemas.openxmlformats.org/officeDocument/2006/relationships/hyperlink" Target="https://www.lcsc.com/product-detail/Chip-Resistor-Surface-Mount_YAGEO-RC0603FR-07100RL_C105588.html" TargetMode="External"/><Relationship Id="rId29" Type="http://schemas.openxmlformats.org/officeDocument/2006/relationships/hyperlink" Target="https://www.lcsc.com/product-detail/Multilayer-Ceramic-Capacitors-MLCC-SMD-SMT_YAGEO-CC0603CRNPO0BN4R7_C527037.html" TargetMode="External"/><Relationship Id="rId1" Type="http://schemas.openxmlformats.org/officeDocument/2006/relationships/hyperlink" Target="https://www.lcsc.com/product-detail/Multilayer-Ceramic-Capacitors-MLCC-SMD-SMT_YAGEO-CC0603KRX7R0BB104_C113803.html" TargetMode="External"/><Relationship Id="rId6" Type="http://schemas.openxmlformats.org/officeDocument/2006/relationships/hyperlink" Target="https://lcsc.com/product-detail/Multilayer-Ceramic-Capacitors-MLCC-SMD-SMT_Samsung-Electro-Mechanics-CL10C180JB8NNNC_C1647.html" TargetMode="External"/><Relationship Id="rId11" Type="http://schemas.openxmlformats.org/officeDocument/2006/relationships/hyperlink" Target="https://www.lcsc.com/product-detail/Ferrite-Beads_TDK-MMZ0603S601CT000_C275404.html" TargetMode="External"/><Relationship Id="rId24" Type="http://schemas.openxmlformats.org/officeDocument/2006/relationships/hyperlink" Target="https://www.lcsc.com/product-detail/Microcontroller-Units-MCUs-MPUs-SOCs_Microchip-Tech-ATTINY1616-MNR_C507118.html" TargetMode="External"/><Relationship Id="rId32" Type="http://schemas.openxmlformats.org/officeDocument/2006/relationships/hyperlink" Target="https://www.lcsc.com/product-detail/RF-Modules_G-NiceRF-STX882S-433MHZ-SRX882-433MHZ-SW433-TH32_C5126754.html" TargetMode="External"/><Relationship Id="rId5" Type="http://schemas.openxmlformats.org/officeDocument/2006/relationships/hyperlink" Target="https://lcsc.com/product-detail/Multilayer-Ceramic-Capacitors-MLCC-SMD-SMT_Murata-Electronics-GRM1885C1H101JA01D_C71664.html" TargetMode="External"/><Relationship Id="rId15" Type="http://schemas.openxmlformats.org/officeDocument/2006/relationships/hyperlink" Target="https://www.lcsc.com/product-detail/Chip-Resistor-Surface-Mount_YAGEO-RC0603FR-071K5L_C114668.html" TargetMode="External"/><Relationship Id="rId23" Type="http://schemas.openxmlformats.org/officeDocument/2006/relationships/hyperlink" Target="https://www.lcsc.com/product-detail/Linear-Voltage-Regulators-LDO_Texas-Instruments-LP5900SD-3-3-NOPB_C131975.html" TargetMode="External"/><Relationship Id="rId28" Type="http://schemas.openxmlformats.org/officeDocument/2006/relationships/hyperlink" Target="https://www.lcsc.com/product-detail/Multilayer-Ceramic-Capacitors-MLCC-SMD-SMT_YAGEO-CC0603JRNPO9BN120_C107034.html" TargetMode="External"/><Relationship Id="rId10" Type="http://schemas.openxmlformats.org/officeDocument/2006/relationships/hyperlink" Target="https://www.lcsc.com/product-detail/RF-Connectors-Coaxial-Connectors_HRS-Hirose-U-FL-R-SMT-1-80_C88374.html" TargetMode="External"/><Relationship Id="rId19" Type="http://schemas.openxmlformats.org/officeDocument/2006/relationships/hyperlink" Target="https://www.lcsc.com/product-detail/Chip-Resistor-Surface-Mount_YAGEO-RC0603JR-074K7L_C105428.html" TargetMode="External"/><Relationship Id="rId31" Type="http://schemas.openxmlformats.org/officeDocument/2006/relationships/hyperlink" Target="https://www.lcsc.com/product-detail/Pin-Headers_XFCN-PZ254V-11-02P_C492401.html" TargetMode="External"/><Relationship Id="rId4" Type="http://schemas.openxmlformats.org/officeDocument/2006/relationships/hyperlink" Target="https://www.lcsc.com/product-detail/Multilayer-Ceramic-Capacitors-MLCC-SMD-SMT_Murata-Electronics-GRM21BR60J106KE19L_C77070.html" TargetMode="External"/><Relationship Id="rId9" Type="http://schemas.openxmlformats.org/officeDocument/2006/relationships/hyperlink" Target="https://www.lcsc.com/product-detail/Pin-Headers_XFCN-PZ254V-11-05P_C492404.html" TargetMode="External"/><Relationship Id="rId14" Type="http://schemas.openxmlformats.org/officeDocument/2006/relationships/hyperlink" Target="https://www.lcsc.com/product-detail/Chip-Resistor-Surface-Mount_YAGEO-RC0603FR-07330KL_C114618.html" TargetMode="External"/><Relationship Id="rId22" Type="http://schemas.openxmlformats.org/officeDocument/2006/relationships/hyperlink" Target="https://www.lcsc.com/product-detail/Slide-Switches_C-K-PCM12SMTR_C221841.html" TargetMode="External"/><Relationship Id="rId27" Type="http://schemas.openxmlformats.org/officeDocument/2006/relationships/hyperlink" Target="https://www.lcsc.com/product-detail/Crystals_JGHC-9BC13560182060C3_C2715873.html" TargetMode="External"/><Relationship Id="rId30" Type="http://schemas.openxmlformats.org/officeDocument/2006/relationships/hyperlink" Target="https://www.lcsc.com/product-detail/Light-Emitting-Diodes-span-style-background-color-ff0-LED-span_XINGLIGHT-XL-1005SURC_C965790.html" TargetMode="External"/><Relationship Id="rId8" Type="http://schemas.openxmlformats.org/officeDocument/2006/relationships/hyperlink" Target="https://lcsc.com/product-detail/Female-Headers_DEALON-DW254W-11-03-85_C2935993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49"/>
  <sheetViews>
    <sheetView tabSelected="1" topLeftCell="A4" workbookViewId="0">
      <selection activeCell="F15" sqref="F15"/>
    </sheetView>
  </sheetViews>
  <sheetFormatPr defaultRowHeight="15" x14ac:dyDescent="0.25"/>
  <cols>
    <col min="2" max="2" width="3.140625" style="26" customWidth="1"/>
    <col min="3" max="3" width="18" style="26" bestFit="1" customWidth="1"/>
    <col min="4" max="4" width="27.42578125" customWidth="1"/>
    <col min="5" max="5" width="30.85546875" customWidth="1"/>
    <col min="6" max="6" width="22.28515625" bestFit="1" customWidth="1"/>
    <col min="7" max="7" width="33.42578125" bestFit="1" customWidth="1"/>
    <col min="8" max="8" width="21.42578125" bestFit="1" customWidth="1"/>
    <col min="9" max="9" width="21.5703125" bestFit="1" customWidth="1"/>
    <col min="10" max="10" width="17.5703125" bestFit="1" customWidth="1"/>
    <col min="11" max="11" width="8.140625" bestFit="1" customWidth="1"/>
    <col min="12" max="12" width="8.7109375" bestFit="1" customWidth="1"/>
    <col min="13" max="13" width="18.28515625" bestFit="1" customWidth="1"/>
    <col min="14" max="14" width="15.140625" bestFit="1" customWidth="1"/>
    <col min="15" max="15" width="5.42578125" bestFit="1" customWidth="1"/>
    <col min="16" max="16" width="18.7109375" bestFit="1" customWidth="1"/>
    <col min="17" max="17" width="19.28515625" bestFit="1" customWidth="1"/>
    <col min="18" max="18" width="16.5703125" bestFit="1" customWidth="1"/>
    <col min="19" max="19" width="26.85546875" bestFit="1" customWidth="1"/>
  </cols>
  <sheetData>
    <row r="1" spans="1:19" ht="15.75" thickBot="1" x14ac:dyDescent="0.3">
      <c r="A1" s="1"/>
      <c r="B1" s="20"/>
      <c r="C1" s="20"/>
      <c r="D1" s="2"/>
      <c r="E1" s="2"/>
      <c r="F1" s="2"/>
      <c r="G1" s="2"/>
      <c r="H1" s="2"/>
      <c r="I1" s="2"/>
      <c r="J1" s="2"/>
      <c r="K1" s="77"/>
      <c r="L1" s="77"/>
      <c r="M1" s="77"/>
      <c r="N1" s="77"/>
      <c r="O1" s="77"/>
      <c r="P1" s="77"/>
      <c r="Q1" s="77"/>
      <c r="R1" s="77"/>
      <c r="S1" s="78"/>
    </row>
    <row r="2" spans="1:19" ht="32.25" thickBot="1" x14ac:dyDescent="0.3">
      <c r="A2" s="1"/>
      <c r="B2" s="21"/>
      <c r="C2" s="39"/>
      <c r="D2" s="11" t="s">
        <v>0</v>
      </c>
      <c r="E2" s="11"/>
      <c r="F2" s="54" t="s">
        <v>247</v>
      </c>
      <c r="G2" s="12"/>
      <c r="H2" s="4"/>
      <c r="I2" s="12"/>
      <c r="J2" s="4"/>
      <c r="K2" s="4"/>
      <c r="L2" s="4"/>
      <c r="M2" s="4"/>
      <c r="N2" s="4"/>
      <c r="O2" s="4"/>
      <c r="P2" s="4"/>
      <c r="Q2" s="4"/>
      <c r="R2" s="4"/>
      <c r="S2" s="3"/>
    </row>
    <row r="3" spans="1:19" x14ac:dyDescent="0.25">
      <c r="A3" s="1"/>
      <c r="B3" s="22"/>
      <c r="C3" s="40"/>
      <c r="D3" s="13" t="s">
        <v>1</v>
      </c>
      <c r="E3" s="13"/>
      <c r="F3" s="55" t="s">
        <v>248</v>
      </c>
      <c r="G3" s="13"/>
      <c r="H3" s="5"/>
      <c r="I3" s="13"/>
      <c r="J3" s="5"/>
      <c r="K3" s="5"/>
      <c r="L3" s="5"/>
      <c r="M3" s="5"/>
      <c r="N3" s="5"/>
      <c r="O3" s="5"/>
      <c r="P3" s="5"/>
      <c r="Q3" s="5"/>
      <c r="R3" s="5"/>
      <c r="S3" s="79"/>
    </row>
    <row r="4" spans="1:19" x14ac:dyDescent="0.25">
      <c r="A4" s="1"/>
      <c r="B4" s="22"/>
      <c r="C4" s="40"/>
      <c r="D4" s="13" t="s">
        <v>2</v>
      </c>
      <c r="E4" s="13"/>
      <c r="F4" s="56" t="s">
        <v>248</v>
      </c>
      <c r="G4" s="14"/>
      <c r="H4" s="7"/>
      <c r="I4" s="14"/>
      <c r="J4" s="7"/>
      <c r="K4" s="7"/>
      <c r="L4" s="6"/>
      <c r="M4" s="6"/>
      <c r="N4" s="6"/>
      <c r="O4" s="6"/>
      <c r="P4" s="6"/>
      <c r="Q4" s="6"/>
      <c r="R4" s="6"/>
      <c r="S4" s="80"/>
    </row>
    <row r="5" spans="1:19" x14ac:dyDescent="0.25">
      <c r="A5" s="1"/>
      <c r="B5" s="22"/>
      <c r="C5" s="40"/>
      <c r="D5" s="13" t="s">
        <v>3</v>
      </c>
      <c r="E5" s="13"/>
      <c r="F5" s="57" t="s">
        <v>5</v>
      </c>
      <c r="G5" s="15"/>
      <c r="H5" s="6"/>
      <c r="I5" s="15"/>
      <c r="J5" s="6"/>
      <c r="K5" s="6"/>
      <c r="L5" s="6"/>
      <c r="M5" s="6"/>
      <c r="N5" s="6"/>
      <c r="O5" s="6"/>
      <c r="P5" s="6"/>
      <c r="Q5" s="6"/>
      <c r="R5" s="6"/>
      <c r="S5" s="80"/>
    </row>
    <row r="6" spans="1:19" x14ac:dyDescent="0.25">
      <c r="A6" s="1"/>
      <c r="B6" s="23"/>
      <c r="C6" s="41"/>
      <c r="D6" s="16"/>
      <c r="E6" s="16"/>
      <c r="F6" s="17"/>
      <c r="G6" s="15"/>
      <c r="H6" s="6"/>
      <c r="I6" s="15"/>
      <c r="J6" s="6"/>
      <c r="K6" s="6"/>
      <c r="L6" s="6"/>
      <c r="M6" s="6"/>
      <c r="N6" s="6"/>
      <c r="O6" s="6"/>
      <c r="P6" s="6"/>
      <c r="Q6" s="6"/>
      <c r="R6" s="6"/>
      <c r="S6" s="80"/>
    </row>
    <row r="7" spans="1:19" x14ac:dyDescent="0.25">
      <c r="A7" s="1"/>
      <c r="B7" s="24"/>
      <c r="C7" s="42"/>
      <c r="D7" s="18"/>
      <c r="E7" s="18"/>
      <c r="F7" s="19"/>
      <c r="G7" s="18"/>
      <c r="H7" s="8"/>
      <c r="I7" s="18"/>
      <c r="J7" s="8"/>
      <c r="K7" s="8"/>
      <c r="L7" s="8"/>
      <c r="M7" s="8"/>
      <c r="N7" s="8"/>
      <c r="O7" s="8"/>
      <c r="P7" s="8"/>
      <c r="Q7" s="8"/>
      <c r="R7" s="8"/>
      <c r="S7" s="80"/>
    </row>
    <row r="8" spans="1:19" ht="15.75" thickBot="1" x14ac:dyDescent="0.3">
      <c r="A8" s="1"/>
      <c r="B8" s="27"/>
      <c r="C8" s="43"/>
      <c r="D8" s="28"/>
      <c r="E8" s="28"/>
      <c r="F8" s="29"/>
      <c r="G8" s="18"/>
      <c r="H8" s="8"/>
      <c r="I8" s="18"/>
      <c r="J8" s="8"/>
      <c r="K8" s="8"/>
      <c r="L8" s="8"/>
      <c r="M8" s="8"/>
      <c r="N8" s="8"/>
      <c r="O8" s="8"/>
      <c r="P8" s="8"/>
      <c r="Q8" s="8"/>
      <c r="R8" s="8"/>
      <c r="S8" s="80"/>
    </row>
    <row r="9" spans="1:19" ht="15.75" thickBot="1" x14ac:dyDescent="0.3">
      <c r="A9" s="1"/>
      <c r="B9" s="30" t="s">
        <v>4</v>
      </c>
      <c r="C9" s="30" t="s">
        <v>180</v>
      </c>
      <c r="D9" s="30" t="s">
        <v>6</v>
      </c>
      <c r="E9" s="31" t="s">
        <v>43</v>
      </c>
      <c r="F9" s="30" t="s">
        <v>81</v>
      </c>
      <c r="G9" s="31" t="s">
        <v>108</v>
      </c>
      <c r="H9" s="30" t="s">
        <v>138</v>
      </c>
      <c r="I9" s="30" t="s">
        <v>193</v>
      </c>
      <c r="J9" s="30" t="s">
        <v>195</v>
      </c>
      <c r="K9" s="31" t="s">
        <v>196</v>
      </c>
      <c r="L9" s="30" t="s">
        <v>179</v>
      </c>
      <c r="M9" s="30" t="s">
        <v>197</v>
      </c>
      <c r="N9" s="30" t="s">
        <v>198</v>
      </c>
      <c r="O9" s="30" t="s">
        <v>199</v>
      </c>
      <c r="P9" s="30" t="s">
        <v>200</v>
      </c>
      <c r="Q9" s="30" t="s">
        <v>201</v>
      </c>
      <c r="R9" s="32" t="s">
        <v>202</v>
      </c>
      <c r="S9" s="32" t="s">
        <v>203</v>
      </c>
    </row>
    <row r="10" spans="1:19" ht="15.75" thickBot="1" x14ac:dyDescent="0.3">
      <c r="A10" s="1"/>
      <c r="B10" s="38">
        <f>ROW(B10) - ROW($B$9)</f>
        <v>1</v>
      </c>
      <c r="C10" s="58" t="s">
        <v>181</v>
      </c>
      <c r="D10" s="46" t="s">
        <v>238</v>
      </c>
      <c r="E10" s="47" t="s">
        <v>44</v>
      </c>
      <c r="F10" s="46" t="s">
        <v>82</v>
      </c>
      <c r="G10" s="47" t="s">
        <v>109</v>
      </c>
      <c r="H10" s="46" t="s">
        <v>139</v>
      </c>
      <c r="I10" s="46" t="s">
        <v>194</v>
      </c>
      <c r="J10" s="46" t="s">
        <v>204</v>
      </c>
      <c r="K10" s="47" t="s">
        <v>160</v>
      </c>
      <c r="L10" s="46">
        <v>7</v>
      </c>
      <c r="M10" s="47">
        <f>L10*5</f>
        <v>35</v>
      </c>
      <c r="N10" s="46">
        <v>100</v>
      </c>
      <c r="O10" s="61" t="s">
        <v>205</v>
      </c>
      <c r="P10" s="52">
        <v>6.0000000000000001E-3</v>
      </c>
      <c r="Q10" s="52">
        <f>P10*N10</f>
        <v>0.6</v>
      </c>
      <c r="R10" s="48"/>
      <c r="S10" s="52"/>
    </row>
    <row r="11" spans="1:19" ht="15.75" thickBot="1" x14ac:dyDescent="0.3">
      <c r="A11" s="1"/>
      <c r="B11" s="38">
        <f t="shared" ref="B11:B47" si="0">ROW(B11) - ROW($B$9)</f>
        <v>2</v>
      </c>
      <c r="C11" s="59" t="s">
        <v>181</v>
      </c>
      <c r="D11" s="49" t="s">
        <v>7</v>
      </c>
      <c r="E11" s="50" t="s">
        <v>45</v>
      </c>
      <c r="F11" s="49" t="s">
        <v>82</v>
      </c>
      <c r="G11" s="50" t="s">
        <v>110</v>
      </c>
      <c r="H11" s="49" t="s">
        <v>140</v>
      </c>
      <c r="I11" s="49" t="s">
        <v>194</v>
      </c>
      <c r="J11" s="49" t="s">
        <v>206</v>
      </c>
      <c r="K11" s="50" t="s">
        <v>161</v>
      </c>
      <c r="L11" s="49">
        <v>2</v>
      </c>
      <c r="M11" s="50">
        <f t="shared" ref="M11:M47" si="1">L11*5</f>
        <v>10</v>
      </c>
      <c r="N11" s="49">
        <v>20</v>
      </c>
      <c r="O11" s="62" t="s">
        <v>205</v>
      </c>
      <c r="P11" s="53">
        <v>3.2899999999999999E-2</v>
      </c>
      <c r="Q11" s="53">
        <f t="shared" ref="Q11:Q47" si="2">P11*N11</f>
        <v>0.65799999999999992</v>
      </c>
      <c r="R11" s="51"/>
      <c r="S11" s="53"/>
    </row>
    <row r="12" spans="1:19" ht="15.75" thickBot="1" x14ac:dyDescent="0.3">
      <c r="A12" s="1"/>
      <c r="B12" s="38">
        <f>ROW(B12) - ROW($B$9)</f>
        <v>3</v>
      </c>
      <c r="C12" s="58" t="s">
        <v>181</v>
      </c>
      <c r="D12" s="46" t="s">
        <v>8</v>
      </c>
      <c r="E12" s="47" t="s">
        <v>46</v>
      </c>
      <c r="F12" s="46" t="s">
        <v>82</v>
      </c>
      <c r="G12" s="47" t="s">
        <v>111</v>
      </c>
      <c r="H12" s="46" t="s">
        <v>141</v>
      </c>
      <c r="I12" s="46" t="s">
        <v>194</v>
      </c>
      <c r="J12" s="46" t="s">
        <v>207</v>
      </c>
      <c r="K12" s="47" t="s">
        <v>162</v>
      </c>
      <c r="L12" s="46">
        <v>1</v>
      </c>
      <c r="M12" s="47">
        <f t="shared" si="1"/>
        <v>5</v>
      </c>
      <c r="N12" s="46">
        <v>50</v>
      </c>
      <c r="O12" s="61" t="s">
        <v>205</v>
      </c>
      <c r="P12" s="52">
        <v>4.1999999999999997E-3</v>
      </c>
      <c r="Q12" s="52">
        <f t="shared" si="2"/>
        <v>0.21</v>
      </c>
      <c r="R12" s="48"/>
      <c r="S12" s="52"/>
    </row>
    <row r="13" spans="1:19" ht="15.75" thickBot="1" x14ac:dyDescent="0.3">
      <c r="A13" s="1"/>
      <c r="B13" s="38">
        <f>ROW(B13) - ROW($B$9)</f>
        <v>4</v>
      </c>
      <c r="C13" s="58" t="s">
        <v>181</v>
      </c>
      <c r="D13" s="46" t="s">
        <v>9</v>
      </c>
      <c r="E13" s="47" t="s">
        <v>47</v>
      </c>
      <c r="F13" s="46" t="s">
        <v>84</v>
      </c>
      <c r="G13" s="47" t="s">
        <v>112</v>
      </c>
      <c r="H13" s="46" t="s">
        <v>142</v>
      </c>
      <c r="I13" s="46" t="s">
        <v>194</v>
      </c>
      <c r="J13" s="46" t="s">
        <v>208</v>
      </c>
      <c r="K13" s="47" t="s">
        <v>163</v>
      </c>
      <c r="L13" s="46">
        <v>1</v>
      </c>
      <c r="M13" s="47">
        <f t="shared" si="1"/>
        <v>5</v>
      </c>
      <c r="N13" s="46">
        <v>20</v>
      </c>
      <c r="O13" s="61" t="s">
        <v>205</v>
      </c>
      <c r="P13" s="52">
        <v>2.69E-2</v>
      </c>
      <c r="Q13" s="52">
        <f t="shared" si="2"/>
        <v>0.53800000000000003</v>
      </c>
      <c r="R13" s="48"/>
      <c r="S13" s="52"/>
    </row>
    <row r="14" spans="1:19" ht="15.75" thickBot="1" x14ac:dyDescent="0.3">
      <c r="A14" s="1"/>
      <c r="B14" s="38">
        <f t="shared" si="0"/>
        <v>5</v>
      </c>
      <c r="C14" s="59" t="s">
        <v>181</v>
      </c>
      <c r="D14" s="49" t="s">
        <v>10</v>
      </c>
      <c r="E14" s="50" t="s">
        <v>48</v>
      </c>
      <c r="F14" s="49" t="s">
        <v>83</v>
      </c>
      <c r="G14" s="50" t="s">
        <v>113</v>
      </c>
      <c r="H14" s="49" t="s">
        <v>142</v>
      </c>
      <c r="I14" s="49" t="s">
        <v>194</v>
      </c>
      <c r="J14" s="49" t="s">
        <v>209</v>
      </c>
      <c r="K14" s="50" t="s">
        <v>164</v>
      </c>
      <c r="L14" s="49">
        <v>1</v>
      </c>
      <c r="M14" s="50">
        <f t="shared" si="1"/>
        <v>5</v>
      </c>
      <c r="N14" s="49">
        <v>50</v>
      </c>
      <c r="O14" s="62" t="s">
        <v>205</v>
      </c>
      <c r="P14" s="53">
        <v>5.7000000000000002E-3</v>
      </c>
      <c r="Q14" s="53">
        <f t="shared" si="2"/>
        <v>0.28500000000000003</v>
      </c>
      <c r="R14" s="51"/>
      <c r="S14" s="53"/>
    </row>
    <row r="15" spans="1:19" ht="15.75" thickBot="1" x14ac:dyDescent="0.3">
      <c r="A15" s="1"/>
      <c r="B15" s="38">
        <f>ROW(B15) - ROW($B$9)</f>
        <v>6</v>
      </c>
      <c r="C15" s="58" t="s">
        <v>181</v>
      </c>
      <c r="D15" s="46" t="s">
        <v>11</v>
      </c>
      <c r="E15" s="47" t="s">
        <v>49</v>
      </c>
      <c r="F15" s="46" t="s">
        <v>83</v>
      </c>
      <c r="G15" s="47" t="s">
        <v>114</v>
      </c>
      <c r="H15" s="46" t="s">
        <v>143</v>
      </c>
      <c r="I15" s="46" t="s">
        <v>194</v>
      </c>
      <c r="J15" s="46" t="s">
        <v>210</v>
      </c>
      <c r="K15" s="47" t="s">
        <v>165</v>
      </c>
      <c r="L15" s="46">
        <v>2</v>
      </c>
      <c r="M15" s="47">
        <f t="shared" si="1"/>
        <v>10</v>
      </c>
      <c r="N15" s="46">
        <v>50</v>
      </c>
      <c r="O15" s="61" t="s">
        <v>205</v>
      </c>
      <c r="P15" s="52">
        <v>8.0000000000000002E-3</v>
      </c>
      <c r="Q15" s="52">
        <f t="shared" si="2"/>
        <v>0.4</v>
      </c>
      <c r="R15" s="48"/>
      <c r="S15" s="52"/>
    </row>
    <row r="16" spans="1:19" ht="15.75" thickBot="1" x14ac:dyDescent="0.3">
      <c r="A16" s="1"/>
      <c r="B16" s="38">
        <f t="shared" si="0"/>
        <v>7</v>
      </c>
      <c r="C16" s="59" t="s">
        <v>181</v>
      </c>
      <c r="D16" s="49" t="s">
        <v>12</v>
      </c>
      <c r="E16" s="50" t="s">
        <v>50</v>
      </c>
      <c r="F16" s="49" t="s">
        <v>83</v>
      </c>
      <c r="G16" s="50" t="s">
        <v>232</v>
      </c>
      <c r="H16" s="49" t="s">
        <v>139</v>
      </c>
      <c r="I16" s="49" t="s">
        <v>194</v>
      </c>
      <c r="J16" s="49" t="s">
        <v>233</v>
      </c>
      <c r="K16" s="50" t="s">
        <v>166</v>
      </c>
      <c r="L16" s="49">
        <v>1</v>
      </c>
      <c r="M16" s="50">
        <f t="shared" si="1"/>
        <v>5</v>
      </c>
      <c r="N16" s="49">
        <v>100</v>
      </c>
      <c r="O16" s="62" t="s">
        <v>205</v>
      </c>
      <c r="P16" s="53">
        <v>3.0000000000000001E-3</v>
      </c>
      <c r="Q16" s="53">
        <f t="shared" si="2"/>
        <v>0.3</v>
      </c>
      <c r="R16" s="51"/>
      <c r="S16" s="53"/>
    </row>
    <row r="17" spans="1:19" ht="36.75" thickBot="1" x14ac:dyDescent="0.3">
      <c r="A17" s="1"/>
      <c r="B17" s="38">
        <f>ROW(B17) - ROW($B$9)</f>
        <v>8</v>
      </c>
      <c r="C17" s="58" t="s">
        <v>181</v>
      </c>
      <c r="D17" s="46" t="s">
        <v>13</v>
      </c>
      <c r="E17" s="47" t="s">
        <v>51</v>
      </c>
      <c r="F17" s="46" t="s">
        <v>85</v>
      </c>
      <c r="G17" s="47" t="s">
        <v>115</v>
      </c>
      <c r="H17" s="46" t="s">
        <v>144</v>
      </c>
      <c r="I17" s="46" t="s">
        <v>194</v>
      </c>
      <c r="J17" s="46"/>
      <c r="K17" s="47" t="s">
        <v>167</v>
      </c>
      <c r="L17" s="46">
        <v>1</v>
      </c>
      <c r="M17" s="47">
        <f t="shared" si="1"/>
        <v>5</v>
      </c>
      <c r="N17" s="46"/>
      <c r="O17" s="46"/>
      <c r="P17" s="52"/>
      <c r="Q17" s="52">
        <f t="shared" si="2"/>
        <v>0</v>
      </c>
      <c r="R17" s="73" t="s">
        <v>244</v>
      </c>
      <c r="S17" s="52"/>
    </row>
    <row r="18" spans="1:19" ht="15.75" thickBot="1" x14ac:dyDescent="0.3">
      <c r="A18" s="1"/>
      <c r="B18" s="38">
        <f t="shared" si="0"/>
        <v>9</v>
      </c>
      <c r="C18" s="59" t="s">
        <v>181</v>
      </c>
      <c r="D18" s="49" t="s">
        <v>14</v>
      </c>
      <c r="E18" s="50" t="s">
        <v>52</v>
      </c>
      <c r="F18" s="49" t="s">
        <v>83</v>
      </c>
      <c r="G18" s="63" t="s">
        <v>116</v>
      </c>
      <c r="H18" s="49" t="s">
        <v>139</v>
      </c>
      <c r="I18" s="49" t="s">
        <v>240</v>
      </c>
      <c r="J18" s="49" t="s">
        <v>234</v>
      </c>
      <c r="K18" s="50" t="s">
        <v>168</v>
      </c>
      <c r="L18" s="49">
        <v>1</v>
      </c>
      <c r="M18" s="50">
        <f t="shared" si="1"/>
        <v>5</v>
      </c>
      <c r="N18" s="49">
        <v>50</v>
      </c>
      <c r="O18" s="62" t="s">
        <v>205</v>
      </c>
      <c r="P18" s="53">
        <v>8.8999999999999999E-3</v>
      </c>
      <c r="Q18" s="53">
        <f t="shared" si="2"/>
        <v>0.44500000000000001</v>
      </c>
      <c r="R18" s="51"/>
      <c r="S18" s="53"/>
    </row>
    <row r="19" spans="1:19" ht="24.75" thickBot="1" x14ac:dyDescent="0.3">
      <c r="A19" s="1"/>
      <c r="B19" s="38">
        <f>ROW(B19) - ROW($B$9)</f>
        <v>10</v>
      </c>
      <c r="C19" s="58" t="s">
        <v>182</v>
      </c>
      <c r="D19" s="46" t="s">
        <v>15</v>
      </c>
      <c r="E19" s="47" t="s">
        <v>53</v>
      </c>
      <c r="F19" s="46" t="s">
        <v>86</v>
      </c>
      <c r="G19" s="47" t="s">
        <v>117</v>
      </c>
      <c r="H19" s="46" t="s">
        <v>145</v>
      </c>
      <c r="I19" s="46" t="s">
        <v>194</v>
      </c>
      <c r="J19" s="46" t="s">
        <v>211</v>
      </c>
      <c r="K19" s="47" t="s">
        <v>194</v>
      </c>
      <c r="L19" s="46">
        <v>12</v>
      </c>
      <c r="M19" s="47">
        <f t="shared" si="1"/>
        <v>60</v>
      </c>
      <c r="N19" s="46">
        <v>80</v>
      </c>
      <c r="O19" s="61" t="s">
        <v>205</v>
      </c>
      <c r="P19" s="52">
        <v>2.58E-2</v>
      </c>
      <c r="Q19" s="52">
        <f t="shared" si="2"/>
        <v>2.0640000000000001</v>
      </c>
      <c r="R19" s="48"/>
      <c r="S19" s="52"/>
    </row>
    <row r="20" spans="1:19" ht="24.75" thickBot="1" x14ac:dyDescent="0.3">
      <c r="A20" s="1"/>
      <c r="B20" s="38">
        <f t="shared" si="0"/>
        <v>11</v>
      </c>
      <c r="C20" s="59" t="s">
        <v>183</v>
      </c>
      <c r="D20" s="49" t="s">
        <v>16</v>
      </c>
      <c r="E20" s="50" t="s">
        <v>54</v>
      </c>
      <c r="F20" s="49" t="s">
        <v>192</v>
      </c>
      <c r="G20" s="50" t="s">
        <v>87</v>
      </c>
      <c r="H20" s="49" t="s">
        <v>146</v>
      </c>
      <c r="I20" s="49" t="s">
        <v>194</v>
      </c>
      <c r="J20" s="49" t="s">
        <v>212</v>
      </c>
      <c r="K20" s="50" t="s">
        <v>194</v>
      </c>
      <c r="L20" s="49">
        <v>1</v>
      </c>
      <c r="M20" s="50">
        <f t="shared" si="1"/>
        <v>5</v>
      </c>
      <c r="N20" s="49">
        <v>10</v>
      </c>
      <c r="O20" s="62" t="s">
        <v>205</v>
      </c>
      <c r="P20" s="53">
        <v>5.1999999999999998E-2</v>
      </c>
      <c r="Q20" s="53">
        <f t="shared" si="2"/>
        <v>0.52</v>
      </c>
      <c r="R20" s="51"/>
      <c r="S20" s="53"/>
    </row>
    <row r="21" spans="1:19" ht="15.75" thickBot="1" x14ac:dyDescent="0.3">
      <c r="A21" s="1"/>
      <c r="B21" s="38">
        <f>ROW(B21) - ROW($B$9)</f>
        <v>12</v>
      </c>
      <c r="C21" s="58" t="s">
        <v>183</v>
      </c>
      <c r="D21" s="46" t="s">
        <v>17</v>
      </c>
      <c r="E21" s="47" t="s">
        <v>55</v>
      </c>
      <c r="F21" s="46" t="s">
        <v>88</v>
      </c>
      <c r="G21" s="47" t="s">
        <v>118</v>
      </c>
      <c r="H21" s="46" t="s">
        <v>147</v>
      </c>
      <c r="I21" s="46" t="s">
        <v>194</v>
      </c>
      <c r="J21" s="46" t="s">
        <v>213</v>
      </c>
      <c r="K21" s="47" t="s">
        <v>194</v>
      </c>
      <c r="L21" s="46">
        <v>1</v>
      </c>
      <c r="M21" s="47">
        <f t="shared" si="1"/>
        <v>5</v>
      </c>
      <c r="N21" s="46">
        <v>20</v>
      </c>
      <c r="O21" s="61" t="s">
        <v>205</v>
      </c>
      <c r="P21" s="52">
        <v>2.6499999999999999E-2</v>
      </c>
      <c r="Q21" s="52">
        <f t="shared" si="2"/>
        <v>0.53</v>
      </c>
      <c r="R21" s="48"/>
      <c r="S21" s="52"/>
    </row>
    <row r="22" spans="1:19" ht="15.75" thickBot="1" x14ac:dyDescent="0.3">
      <c r="A22" s="1"/>
      <c r="B22" s="38">
        <f t="shared" si="0"/>
        <v>13</v>
      </c>
      <c r="C22" s="59" t="s">
        <v>184</v>
      </c>
      <c r="D22" s="49" t="s">
        <v>18</v>
      </c>
      <c r="E22" s="50" t="s">
        <v>56</v>
      </c>
      <c r="F22" s="49" t="s">
        <v>192</v>
      </c>
      <c r="G22" s="50" t="s">
        <v>119</v>
      </c>
      <c r="H22" s="49" t="s">
        <v>148</v>
      </c>
      <c r="I22" s="49" t="s">
        <v>194</v>
      </c>
      <c r="J22" s="49" t="s">
        <v>214</v>
      </c>
      <c r="K22" s="50" t="s">
        <v>194</v>
      </c>
      <c r="L22" s="49">
        <v>1</v>
      </c>
      <c r="M22" s="50">
        <f t="shared" si="1"/>
        <v>5</v>
      </c>
      <c r="N22" s="49">
        <v>10</v>
      </c>
      <c r="O22" s="62" t="s">
        <v>205</v>
      </c>
      <c r="P22" s="53">
        <v>8.9599999999999999E-2</v>
      </c>
      <c r="Q22" s="53">
        <f t="shared" si="2"/>
        <v>0.89600000000000002</v>
      </c>
      <c r="R22" s="51"/>
      <c r="S22" s="53"/>
    </row>
    <row r="23" spans="1:19" ht="15.75" thickBot="1" x14ac:dyDescent="0.3">
      <c r="A23" s="1"/>
      <c r="B23" s="38">
        <f>ROW(B23) - ROW($B$9)</f>
        <v>14</v>
      </c>
      <c r="C23" s="58" t="s">
        <v>185</v>
      </c>
      <c r="D23" s="46" t="s">
        <v>19</v>
      </c>
      <c r="E23" s="47" t="s">
        <v>57</v>
      </c>
      <c r="F23" s="46" t="s">
        <v>89</v>
      </c>
      <c r="G23" s="47" t="s">
        <v>120</v>
      </c>
      <c r="H23" s="46" t="s">
        <v>149</v>
      </c>
      <c r="I23" s="46" t="s">
        <v>194</v>
      </c>
      <c r="J23" s="46" t="s">
        <v>215</v>
      </c>
      <c r="K23" s="47" t="s">
        <v>194</v>
      </c>
      <c r="L23" s="46">
        <v>1</v>
      </c>
      <c r="M23" s="47">
        <f t="shared" si="1"/>
        <v>5</v>
      </c>
      <c r="N23" s="46">
        <v>50</v>
      </c>
      <c r="O23" s="61" t="s">
        <v>205</v>
      </c>
      <c r="P23" s="52">
        <v>1.44E-2</v>
      </c>
      <c r="Q23" s="52">
        <f t="shared" si="2"/>
        <v>0.72</v>
      </c>
      <c r="R23" s="48"/>
      <c r="S23" s="52"/>
    </row>
    <row r="24" spans="1:19" ht="36.75" thickBot="1" x14ac:dyDescent="0.3">
      <c r="A24" s="1"/>
      <c r="B24" s="38">
        <f t="shared" si="0"/>
        <v>15</v>
      </c>
      <c r="C24" s="59" t="s">
        <v>185</v>
      </c>
      <c r="D24" s="49" t="s">
        <v>20</v>
      </c>
      <c r="E24" s="50" t="s">
        <v>58</v>
      </c>
      <c r="F24" s="49" t="s">
        <v>90</v>
      </c>
      <c r="G24" s="50" t="s">
        <v>121</v>
      </c>
      <c r="H24" s="49" t="s">
        <v>144</v>
      </c>
      <c r="I24" s="49" t="s">
        <v>194</v>
      </c>
      <c r="J24" s="49"/>
      <c r="K24" s="50" t="s">
        <v>237</v>
      </c>
      <c r="L24" s="49">
        <v>1</v>
      </c>
      <c r="M24" s="50">
        <f t="shared" si="1"/>
        <v>5</v>
      </c>
      <c r="N24" s="49"/>
      <c r="O24" s="49"/>
      <c r="P24" s="53"/>
      <c r="Q24" s="53">
        <f t="shared" si="2"/>
        <v>0</v>
      </c>
      <c r="R24" s="74" t="s">
        <v>244</v>
      </c>
      <c r="S24" s="53"/>
    </row>
    <row r="25" spans="1:19" ht="15.75" thickBot="1" x14ac:dyDescent="0.3">
      <c r="A25" s="1"/>
      <c r="B25" s="38">
        <f>ROW(B25) - ROW($B$9)</f>
        <v>16</v>
      </c>
      <c r="C25" s="58" t="s">
        <v>186</v>
      </c>
      <c r="D25" s="46" t="s">
        <v>21</v>
      </c>
      <c r="E25" s="47" t="s">
        <v>59</v>
      </c>
      <c r="F25" s="46" t="s">
        <v>91</v>
      </c>
      <c r="G25" s="64" t="s">
        <v>122</v>
      </c>
      <c r="H25" s="46" t="s">
        <v>150</v>
      </c>
      <c r="I25" s="46" t="s">
        <v>241</v>
      </c>
      <c r="J25" s="46" t="s">
        <v>235</v>
      </c>
      <c r="K25" s="47" t="s">
        <v>194</v>
      </c>
      <c r="L25" s="46">
        <v>1</v>
      </c>
      <c r="M25" s="47">
        <f t="shared" si="1"/>
        <v>5</v>
      </c>
      <c r="N25" s="46">
        <v>100</v>
      </c>
      <c r="O25" s="61" t="s">
        <v>205</v>
      </c>
      <c r="P25" s="52">
        <v>7.4000000000000003E-3</v>
      </c>
      <c r="Q25" s="52">
        <f t="shared" si="2"/>
        <v>0.74</v>
      </c>
      <c r="R25" s="48"/>
      <c r="S25" s="52"/>
    </row>
    <row r="26" spans="1:19" ht="15.75" thickBot="1" x14ac:dyDescent="0.3">
      <c r="A26" s="1"/>
      <c r="B26" s="38">
        <f t="shared" si="0"/>
        <v>17</v>
      </c>
      <c r="C26" s="59" t="s">
        <v>183</v>
      </c>
      <c r="D26" s="49" t="s">
        <v>22</v>
      </c>
      <c r="E26" s="50" t="s">
        <v>60</v>
      </c>
      <c r="F26" s="49" t="s">
        <v>92</v>
      </c>
      <c r="G26" s="63">
        <v>61300211121</v>
      </c>
      <c r="H26" s="49" t="s">
        <v>151</v>
      </c>
      <c r="I26" s="49" t="s">
        <v>194</v>
      </c>
      <c r="J26" s="49" t="s">
        <v>236</v>
      </c>
      <c r="K26" s="50" t="s">
        <v>194</v>
      </c>
      <c r="L26" s="49">
        <v>1</v>
      </c>
      <c r="M26" s="50">
        <f t="shared" si="1"/>
        <v>5</v>
      </c>
      <c r="N26" s="49">
        <v>50</v>
      </c>
      <c r="O26" s="62" t="s">
        <v>205</v>
      </c>
      <c r="P26" s="53">
        <v>1.46E-2</v>
      </c>
      <c r="Q26" s="53">
        <f t="shared" si="2"/>
        <v>0.73</v>
      </c>
      <c r="R26" s="51"/>
      <c r="S26" s="53"/>
    </row>
    <row r="27" spans="1:19" ht="15.75" thickBot="1" x14ac:dyDescent="0.3">
      <c r="A27" s="1"/>
      <c r="B27" s="38">
        <f>ROW(B27) - ROW($B$9)</f>
        <v>18</v>
      </c>
      <c r="C27" s="58" t="s">
        <v>187</v>
      </c>
      <c r="D27" s="46" t="s">
        <v>23</v>
      </c>
      <c r="E27" s="47" t="s">
        <v>194</v>
      </c>
      <c r="F27" s="46" t="s">
        <v>192</v>
      </c>
      <c r="G27" s="46" t="s">
        <v>93</v>
      </c>
      <c r="H27" s="46" t="s">
        <v>194</v>
      </c>
      <c r="I27" s="46" t="s">
        <v>194</v>
      </c>
      <c r="J27" s="46" t="s">
        <v>194</v>
      </c>
      <c r="K27" s="47" t="s">
        <v>194</v>
      </c>
      <c r="L27" s="46">
        <v>1</v>
      </c>
      <c r="M27" s="47">
        <f t="shared" si="1"/>
        <v>5</v>
      </c>
      <c r="N27" s="46" t="s">
        <v>194</v>
      </c>
      <c r="O27" s="46" t="s">
        <v>194</v>
      </c>
      <c r="P27" s="52" t="s">
        <v>194</v>
      </c>
      <c r="Q27" s="52" t="s">
        <v>194</v>
      </c>
      <c r="R27" s="76" t="s">
        <v>246</v>
      </c>
      <c r="S27" s="52"/>
    </row>
    <row r="28" spans="1:19" ht="15.75" thickBot="1" x14ac:dyDescent="0.3">
      <c r="A28" s="1"/>
      <c r="B28" s="38">
        <f t="shared" si="0"/>
        <v>19</v>
      </c>
      <c r="C28" s="59" t="s">
        <v>188</v>
      </c>
      <c r="D28" s="49" t="s">
        <v>24</v>
      </c>
      <c r="E28" s="50" t="s">
        <v>61</v>
      </c>
      <c r="F28" s="49" t="s">
        <v>94</v>
      </c>
      <c r="G28" s="50" t="s">
        <v>123</v>
      </c>
      <c r="H28" s="49" t="s">
        <v>139</v>
      </c>
      <c r="I28" s="49" t="s">
        <v>194</v>
      </c>
      <c r="J28" s="49" t="s">
        <v>216</v>
      </c>
      <c r="K28" s="50" t="s">
        <v>169</v>
      </c>
      <c r="L28" s="49">
        <v>5</v>
      </c>
      <c r="M28" s="50">
        <f t="shared" si="1"/>
        <v>25</v>
      </c>
      <c r="N28" s="49">
        <v>100</v>
      </c>
      <c r="O28" s="62" t="s">
        <v>205</v>
      </c>
      <c r="P28" s="53">
        <v>1.6999999999999999E-3</v>
      </c>
      <c r="Q28" s="53">
        <f t="shared" si="2"/>
        <v>0.16999999999999998</v>
      </c>
      <c r="R28" s="51"/>
      <c r="S28" s="53"/>
    </row>
    <row r="29" spans="1:19" ht="15.75" thickBot="1" x14ac:dyDescent="0.3">
      <c r="A29" s="1"/>
      <c r="B29" s="38">
        <f t="shared" si="0"/>
        <v>20</v>
      </c>
      <c r="C29" s="59" t="s">
        <v>188</v>
      </c>
      <c r="D29" s="49" t="s">
        <v>25</v>
      </c>
      <c r="E29" s="50" t="s">
        <v>62</v>
      </c>
      <c r="F29" s="49" t="s">
        <v>95</v>
      </c>
      <c r="G29" s="50" t="s">
        <v>124</v>
      </c>
      <c r="H29" s="49" t="s">
        <v>139</v>
      </c>
      <c r="I29" s="49" t="s">
        <v>194</v>
      </c>
      <c r="J29" s="49" t="s">
        <v>217</v>
      </c>
      <c r="K29" s="50" t="s">
        <v>171</v>
      </c>
      <c r="L29" s="49">
        <v>1</v>
      </c>
      <c r="M29" s="50">
        <f t="shared" si="1"/>
        <v>5</v>
      </c>
      <c r="N29" s="49">
        <v>100</v>
      </c>
      <c r="O29" s="62" t="s">
        <v>205</v>
      </c>
      <c r="P29" s="53">
        <v>1.5E-3</v>
      </c>
      <c r="Q29" s="53">
        <f t="shared" si="2"/>
        <v>0.15</v>
      </c>
      <c r="R29" s="51"/>
      <c r="S29" s="53"/>
    </row>
    <row r="30" spans="1:19" ht="15.75" thickBot="1" x14ac:dyDescent="0.3">
      <c r="A30" s="1"/>
      <c r="B30" s="38">
        <f>ROW(B30) - ROW($B$9)</f>
        <v>21</v>
      </c>
      <c r="C30" s="58" t="s">
        <v>188</v>
      </c>
      <c r="D30" s="46" t="s">
        <v>26</v>
      </c>
      <c r="E30" s="47" t="s">
        <v>63</v>
      </c>
      <c r="F30" s="46" t="s">
        <v>95</v>
      </c>
      <c r="G30" s="47" t="s">
        <v>125</v>
      </c>
      <c r="H30" s="46" t="s">
        <v>139</v>
      </c>
      <c r="I30" s="46" t="s">
        <v>194</v>
      </c>
      <c r="J30" s="46" t="s">
        <v>218</v>
      </c>
      <c r="K30" s="47" t="s">
        <v>172</v>
      </c>
      <c r="L30" s="46">
        <v>1</v>
      </c>
      <c r="M30" s="47">
        <f t="shared" si="1"/>
        <v>5</v>
      </c>
      <c r="N30" s="46">
        <v>100</v>
      </c>
      <c r="O30" s="61" t="s">
        <v>205</v>
      </c>
      <c r="P30" s="52">
        <v>1.2999999999999999E-3</v>
      </c>
      <c r="Q30" s="52">
        <f t="shared" si="2"/>
        <v>0.13</v>
      </c>
      <c r="R30" s="48"/>
      <c r="S30" s="52"/>
    </row>
    <row r="31" spans="1:19" ht="15.75" thickBot="1" x14ac:dyDescent="0.3">
      <c r="A31" s="1"/>
      <c r="B31" s="38">
        <f t="shared" si="0"/>
        <v>22</v>
      </c>
      <c r="C31" s="59" t="s">
        <v>188</v>
      </c>
      <c r="D31" s="49" t="s">
        <v>27</v>
      </c>
      <c r="E31" s="50" t="s">
        <v>64</v>
      </c>
      <c r="F31" s="49" t="s">
        <v>95</v>
      </c>
      <c r="G31" s="50" t="s">
        <v>126</v>
      </c>
      <c r="H31" s="49" t="s">
        <v>139</v>
      </c>
      <c r="I31" s="49" t="s">
        <v>194</v>
      </c>
      <c r="J31" s="49" t="s">
        <v>219</v>
      </c>
      <c r="K31" s="50" t="s">
        <v>173</v>
      </c>
      <c r="L31" s="49">
        <v>4</v>
      </c>
      <c r="M31" s="50">
        <f t="shared" si="1"/>
        <v>20</v>
      </c>
      <c r="N31" s="49">
        <v>100</v>
      </c>
      <c r="O31" s="62" t="s">
        <v>205</v>
      </c>
      <c r="P31" s="53">
        <v>1.4E-3</v>
      </c>
      <c r="Q31" s="53">
        <f t="shared" si="2"/>
        <v>0.13999999999999999</v>
      </c>
      <c r="R31" s="51"/>
      <c r="S31" s="53"/>
    </row>
    <row r="32" spans="1:19" ht="15.75" thickBot="1" x14ac:dyDescent="0.3">
      <c r="A32" s="1"/>
      <c r="B32" s="38">
        <f>ROW(B32) - ROW($B$9)</f>
        <v>23</v>
      </c>
      <c r="C32" s="58" t="s">
        <v>188</v>
      </c>
      <c r="D32" s="46" t="s">
        <v>28</v>
      </c>
      <c r="E32" s="47" t="s">
        <v>65</v>
      </c>
      <c r="F32" s="46" t="s">
        <v>94</v>
      </c>
      <c r="G32" s="47" t="s">
        <v>127</v>
      </c>
      <c r="H32" s="46" t="s">
        <v>139</v>
      </c>
      <c r="I32" s="46" t="s">
        <v>194</v>
      </c>
      <c r="J32" s="46" t="s">
        <v>220</v>
      </c>
      <c r="K32" s="47" t="s">
        <v>174</v>
      </c>
      <c r="L32" s="46">
        <v>1</v>
      </c>
      <c r="M32" s="47">
        <f t="shared" si="1"/>
        <v>5</v>
      </c>
      <c r="N32" s="46">
        <v>100</v>
      </c>
      <c r="O32" s="61" t="s">
        <v>205</v>
      </c>
      <c r="P32" s="52">
        <v>1.4E-3</v>
      </c>
      <c r="Q32" s="52">
        <f t="shared" si="2"/>
        <v>0.13999999999999999</v>
      </c>
      <c r="R32" s="48"/>
      <c r="S32" s="52"/>
    </row>
    <row r="33" spans="1:19" ht="15.75" thickBot="1" x14ac:dyDescent="0.3">
      <c r="A33" s="1"/>
      <c r="B33" s="38">
        <f t="shared" si="0"/>
        <v>24</v>
      </c>
      <c r="C33" s="59" t="s">
        <v>188</v>
      </c>
      <c r="D33" s="49" t="s">
        <v>29</v>
      </c>
      <c r="E33" s="50" t="s">
        <v>66</v>
      </c>
      <c r="F33" s="49" t="s">
        <v>96</v>
      </c>
      <c r="G33" s="50" t="s">
        <v>128</v>
      </c>
      <c r="H33" s="49" t="s">
        <v>139</v>
      </c>
      <c r="I33" s="49" t="s">
        <v>194</v>
      </c>
      <c r="J33" s="49" t="s">
        <v>221</v>
      </c>
      <c r="K33" s="50" t="s">
        <v>175</v>
      </c>
      <c r="L33" s="49">
        <v>1</v>
      </c>
      <c r="M33" s="50">
        <f t="shared" si="1"/>
        <v>5</v>
      </c>
      <c r="N33" s="49">
        <v>100</v>
      </c>
      <c r="O33" s="62" t="s">
        <v>205</v>
      </c>
      <c r="P33" s="53">
        <v>5.9999999999999995E-4</v>
      </c>
      <c r="Q33" s="53">
        <f t="shared" si="2"/>
        <v>0.06</v>
      </c>
      <c r="R33" s="51"/>
      <c r="S33" s="53"/>
    </row>
    <row r="34" spans="1:19" ht="15.75" thickBot="1" x14ac:dyDescent="0.3">
      <c r="A34" s="1"/>
      <c r="B34" s="38">
        <f>ROW(B34) - ROW($B$9)</f>
        <v>25</v>
      </c>
      <c r="C34" s="58" t="s">
        <v>188</v>
      </c>
      <c r="D34" s="46" t="s">
        <v>30</v>
      </c>
      <c r="E34" s="47" t="s">
        <v>67</v>
      </c>
      <c r="F34" s="46" t="s">
        <v>95</v>
      </c>
      <c r="G34" s="47" t="s">
        <v>129</v>
      </c>
      <c r="H34" s="46" t="s">
        <v>139</v>
      </c>
      <c r="I34" s="46" t="s">
        <v>194</v>
      </c>
      <c r="J34" s="46" t="s">
        <v>222</v>
      </c>
      <c r="K34" s="47" t="s">
        <v>176</v>
      </c>
      <c r="L34" s="46">
        <v>1</v>
      </c>
      <c r="M34" s="47">
        <f t="shared" si="1"/>
        <v>5</v>
      </c>
      <c r="N34" s="46">
        <v>100</v>
      </c>
      <c r="O34" s="61" t="s">
        <v>205</v>
      </c>
      <c r="P34" s="52">
        <v>1.1999999999999999E-3</v>
      </c>
      <c r="Q34" s="52">
        <f t="shared" si="2"/>
        <v>0.12</v>
      </c>
      <c r="R34" s="48"/>
      <c r="S34" s="52"/>
    </row>
    <row r="35" spans="1:19" ht="15.75" thickBot="1" x14ac:dyDescent="0.3">
      <c r="A35" s="1"/>
      <c r="B35" s="38">
        <f t="shared" si="0"/>
        <v>26</v>
      </c>
      <c r="C35" s="65" t="s">
        <v>188</v>
      </c>
      <c r="D35" s="66" t="s">
        <v>239</v>
      </c>
      <c r="E35" s="67" t="s">
        <v>68</v>
      </c>
      <c r="F35" s="66" t="s">
        <v>95</v>
      </c>
      <c r="G35" s="67" t="s">
        <v>130</v>
      </c>
      <c r="H35" s="66" t="s">
        <v>139</v>
      </c>
      <c r="I35" s="66" t="s">
        <v>194</v>
      </c>
      <c r="J35" s="66" t="s">
        <v>223</v>
      </c>
      <c r="K35" s="67" t="s">
        <v>170</v>
      </c>
      <c r="L35" s="66">
        <v>1</v>
      </c>
      <c r="M35" s="67">
        <f t="shared" si="1"/>
        <v>5</v>
      </c>
      <c r="N35" s="66">
        <v>100</v>
      </c>
      <c r="O35" s="68" t="s">
        <v>205</v>
      </c>
      <c r="P35" s="69">
        <v>1E-3</v>
      </c>
      <c r="Q35" s="69">
        <f t="shared" si="2"/>
        <v>0.1</v>
      </c>
      <c r="R35" s="70"/>
      <c r="S35" s="69"/>
    </row>
    <row r="36" spans="1:19" ht="15.75" thickBot="1" x14ac:dyDescent="0.3">
      <c r="A36" s="1"/>
      <c r="B36" s="38">
        <f>ROW(B36) - ROW($B$9)</f>
        <v>27</v>
      </c>
      <c r="C36" s="58" t="s">
        <v>188</v>
      </c>
      <c r="D36" s="46" t="s">
        <v>31</v>
      </c>
      <c r="E36" s="47" t="s">
        <v>69</v>
      </c>
      <c r="F36" s="46" t="s">
        <v>95</v>
      </c>
      <c r="G36" s="47" t="s">
        <v>131</v>
      </c>
      <c r="H36" s="46" t="s">
        <v>139</v>
      </c>
      <c r="I36" s="46" t="s">
        <v>194</v>
      </c>
      <c r="J36" s="46" t="s">
        <v>224</v>
      </c>
      <c r="K36" s="47" t="s">
        <v>177</v>
      </c>
      <c r="L36" s="46">
        <v>1</v>
      </c>
      <c r="M36" s="47">
        <f t="shared" si="1"/>
        <v>5</v>
      </c>
      <c r="N36" s="46">
        <v>100</v>
      </c>
      <c r="O36" s="61" t="s">
        <v>205</v>
      </c>
      <c r="P36" s="52">
        <v>1E-3</v>
      </c>
      <c r="Q36" s="52">
        <f t="shared" si="2"/>
        <v>0.1</v>
      </c>
      <c r="R36" s="48"/>
      <c r="S36" s="52"/>
    </row>
    <row r="37" spans="1:19" ht="72.75" thickBot="1" x14ac:dyDescent="0.3">
      <c r="A37" s="1"/>
      <c r="B37" s="38">
        <f t="shared" si="0"/>
        <v>28</v>
      </c>
      <c r="C37" s="59" t="s">
        <v>97</v>
      </c>
      <c r="D37" s="49" t="s">
        <v>32</v>
      </c>
      <c r="E37" s="50" t="s">
        <v>70</v>
      </c>
      <c r="F37" s="49" t="s">
        <v>192</v>
      </c>
      <c r="G37" s="49" t="s">
        <v>97</v>
      </c>
      <c r="H37" s="49" t="s">
        <v>194</v>
      </c>
      <c r="I37" s="49" t="s">
        <v>194</v>
      </c>
      <c r="J37" s="49" t="s">
        <v>194</v>
      </c>
      <c r="K37" s="50" t="s">
        <v>194</v>
      </c>
      <c r="L37" s="49">
        <v>31</v>
      </c>
      <c r="M37" s="50">
        <f t="shared" si="1"/>
        <v>155</v>
      </c>
      <c r="N37" s="49" t="s">
        <v>194</v>
      </c>
      <c r="O37" s="49" t="s">
        <v>194</v>
      </c>
      <c r="P37" s="53" t="s">
        <v>194</v>
      </c>
      <c r="Q37" s="53" t="s">
        <v>194</v>
      </c>
      <c r="R37" s="75" t="s">
        <v>246</v>
      </c>
      <c r="S37" s="53"/>
    </row>
    <row r="38" spans="1:19" ht="36.75" thickBot="1" x14ac:dyDescent="0.3">
      <c r="A38" s="1"/>
      <c r="B38" s="38">
        <f>ROW(B38) - ROW($B$9)</f>
        <v>29</v>
      </c>
      <c r="C38" s="58" t="s">
        <v>189</v>
      </c>
      <c r="D38" s="46" t="s">
        <v>33</v>
      </c>
      <c r="E38" s="47" t="s">
        <v>71</v>
      </c>
      <c r="F38" s="46" t="s">
        <v>192</v>
      </c>
      <c r="G38" s="46" t="s">
        <v>98</v>
      </c>
      <c r="H38" s="46" t="s">
        <v>152</v>
      </c>
      <c r="I38" s="46" t="s">
        <v>194</v>
      </c>
      <c r="J38" s="46" t="s">
        <v>225</v>
      </c>
      <c r="K38" s="47" t="s">
        <v>194</v>
      </c>
      <c r="L38" s="46">
        <v>9</v>
      </c>
      <c r="M38" s="47">
        <f t="shared" si="1"/>
        <v>45</v>
      </c>
      <c r="N38" s="46">
        <v>50</v>
      </c>
      <c r="O38" s="61" t="s">
        <v>205</v>
      </c>
      <c r="P38" s="52">
        <v>6.3600000000000004E-2</v>
      </c>
      <c r="Q38" s="52">
        <f t="shared" si="2"/>
        <v>3.18</v>
      </c>
      <c r="R38" s="48"/>
      <c r="S38" s="52"/>
    </row>
    <row r="39" spans="1:19" ht="15.75" thickBot="1" x14ac:dyDescent="0.3">
      <c r="A39" s="1"/>
      <c r="B39" s="38">
        <f t="shared" si="0"/>
        <v>30</v>
      </c>
      <c r="C39" s="59" t="s">
        <v>189</v>
      </c>
      <c r="D39" s="49" t="s">
        <v>34</v>
      </c>
      <c r="E39" s="50" t="s">
        <v>72</v>
      </c>
      <c r="F39" s="49" t="s">
        <v>192</v>
      </c>
      <c r="G39" s="50" t="s">
        <v>99</v>
      </c>
      <c r="H39" s="49" t="s">
        <v>153</v>
      </c>
      <c r="I39" s="49" t="s">
        <v>194</v>
      </c>
      <c r="J39" s="49" t="s">
        <v>226</v>
      </c>
      <c r="K39" s="50" t="s">
        <v>194</v>
      </c>
      <c r="L39" s="49">
        <v>1</v>
      </c>
      <c r="M39" s="50">
        <f t="shared" si="1"/>
        <v>5</v>
      </c>
      <c r="N39" s="49">
        <v>6</v>
      </c>
      <c r="O39" s="62" t="s">
        <v>205</v>
      </c>
      <c r="P39" s="53">
        <v>0.47339999999999999</v>
      </c>
      <c r="Q39" s="53">
        <f t="shared" si="2"/>
        <v>2.8403999999999998</v>
      </c>
      <c r="R39" s="51"/>
      <c r="S39" s="53"/>
    </row>
    <row r="40" spans="1:19" ht="24.75" thickBot="1" x14ac:dyDescent="0.3">
      <c r="A40" s="1"/>
      <c r="B40" s="38">
        <f>ROW(B40) - ROW($B$9)</f>
        <v>31</v>
      </c>
      <c r="C40" s="58" t="s">
        <v>190</v>
      </c>
      <c r="D40" s="46" t="s">
        <v>35</v>
      </c>
      <c r="E40" s="47" t="s">
        <v>73</v>
      </c>
      <c r="F40" s="46" t="s">
        <v>100</v>
      </c>
      <c r="G40" s="47" t="s">
        <v>132</v>
      </c>
      <c r="H40" s="46" t="s">
        <v>154</v>
      </c>
      <c r="I40" s="46" t="s">
        <v>194</v>
      </c>
      <c r="J40" s="46" t="s">
        <v>227</v>
      </c>
      <c r="K40" s="47" t="s">
        <v>194</v>
      </c>
      <c r="L40" s="46">
        <v>1</v>
      </c>
      <c r="M40" s="47">
        <f t="shared" si="1"/>
        <v>5</v>
      </c>
      <c r="N40" s="46">
        <v>6</v>
      </c>
      <c r="O40" s="61" t="s">
        <v>205</v>
      </c>
      <c r="P40" s="52">
        <v>0.78669999999999995</v>
      </c>
      <c r="Q40" s="52">
        <f t="shared" si="2"/>
        <v>4.7202000000000002</v>
      </c>
      <c r="R40" s="48"/>
      <c r="S40" s="52"/>
    </row>
    <row r="41" spans="1:19" ht="15.75" thickBot="1" x14ac:dyDescent="0.3">
      <c r="A41" s="1"/>
      <c r="B41" s="38">
        <f t="shared" si="0"/>
        <v>32</v>
      </c>
      <c r="C41" s="59" t="s">
        <v>190</v>
      </c>
      <c r="D41" s="49" t="s">
        <v>36</v>
      </c>
      <c r="E41" s="50" t="s">
        <v>74</v>
      </c>
      <c r="F41" s="49" t="s">
        <v>101</v>
      </c>
      <c r="G41" s="50" t="s">
        <v>133</v>
      </c>
      <c r="H41" s="49" t="s">
        <v>155</v>
      </c>
      <c r="I41" s="49" t="s">
        <v>194</v>
      </c>
      <c r="J41" s="49" t="s">
        <v>228</v>
      </c>
      <c r="K41" s="50" t="s">
        <v>194</v>
      </c>
      <c r="L41" s="49">
        <v>1</v>
      </c>
      <c r="M41" s="50">
        <f t="shared" si="1"/>
        <v>5</v>
      </c>
      <c r="N41" s="49">
        <v>6</v>
      </c>
      <c r="O41" s="62" t="s">
        <v>205</v>
      </c>
      <c r="P41" s="53">
        <v>0.95709999999999995</v>
      </c>
      <c r="Q41" s="53">
        <f t="shared" si="2"/>
        <v>5.7425999999999995</v>
      </c>
      <c r="R41" s="51"/>
      <c r="S41" s="53"/>
    </row>
    <row r="42" spans="1:19" ht="26.25" thickBot="1" x14ac:dyDescent="0.3">
      <c r="A42" s="1"/>
      <c r="B42" s="38">
        <f>ROW(B42) - ROW($B$9)</f>
        <v>33</v>
      </c>
      <c r="C42" s="58" t="s">
        <v>190</v>
      </c>
      <c r="D42" s="46" t="s">
        <v>37</v>
      </c>
      <c r="E42" s="47" t="s">
        <v>75</v>
      </c>
      <c r="F42" s="46" t="s">
        <v>102</v>
      </c>
      <c r="G42" s="47" t="s">
        <v>134</v>
      </c>
      <c r="H42" s="46" t="s">
        <v>156</v>
      </c>
      <c r="I42" s="46" t="s">
        <v>194</v>
      </c>
      <c r="J42" s="46"/>
      <c r="K42" s="47"/>
      <c r="L42" s="46">
        <v>1</v>
      </c>
      <c r="M42" s="47">
        <f t="shared" si="1"/>
        <v>5</v>
      </c>
      <c r="N42" s="46"/>
      <c r="O42" s="46"/>
      <c r="P42" s="52"/>
      <c r="Q42" s="52">
        <f t="shared" si="2"/>
        <v>0</v>
      </c>
      <c r="R42" s="73" t="s">
        <v>244</v>
      </c>
      <c r="S42" s="52"/>
    </row>
    <row r="43" spans="1:19" ht="15.75" thickBot="1" x14ac:dyDescent="0.3">
      <c r="A43" s="1"/>
      <c r="B43" s="38">
        <f t="shared" si="0"/>
        <v>34</v>
      </c>
      <c r="C43" s="59" t="s">
        <v>190</v>
      </c>
      <c r="D43" s="49" t="s">
        <v>38</v>
      </c>
      <c r="E43" s="50" t="s">
        <v>76</v>
      </c>
      <c r="F43" s="49" t="s">
        <v>103</v>
      </c>
      <c r="G43" s="50" t="s">
        <v>135</v>
      </c>
      <c r="H43" s="49" t="s">
        <v>155</v>
      </c>
      <c r="I43" s="49" t="s">
        <v>194</v>
      </c>
      <c r="J43" s="49" t="s">
        <v>229</v>
      </c>
      <c r="K43" s="50" t="s">
        <v>194</v>
      </c>
      <c r="L43" s="49">
        <v>1</v>
      </c>
      <c r="M43" s="50">
        <f t="shared" si="1"/>
        <v>5</v>
      </c>
      <c r="N43" s="49">
        <v>6</v>
      </c>
      <c r="O43" s="62" t="s">
        <v>205</v>
      </c>
      <c r="P43" s="53">
        <v>1.1791</v>
      </c>
      <c r="Q43" s="53">
        <f t="shared" si="2"/>
        <v>7.0746000000000002</v>
      </c>
      <c r="R43" s="51"/>
      <c r="S43" s="53"/>
    </row>
    <row r="44" spans="1:19" ht="15.75" thickBot="1" x14ac:dyDescent="0.3">
      <c r="A44" s="1"/>
      <c r="B44" s="38">
        <f>ROW(B44) - ROW($B$9)</f>
        <v>35</v>
      </c>
      <c r="C44" s="58" t="s">
        <v>190</v>
      </c>
      <c r="D44" s="46" t="s">
        <v>39</v>
      </c>
      <c r="E44" s="47" t="s">
        <v>77</v>
      </c>
      <c r="F44" s="46" t="s">
        <v>192</v>
      </c>
      <c r="G44" s="47" t="s">
        <v>104</v>
      </c>
      <c r="H44" s="46" t="s">
        <v>157</v>
      </c>
      <c r="I44" s="46" t="s">
        <v>194</v>
      </c>
      <c r="J44" s="46" t="s">
        <v>245</v>
      </c>
      <c r="K44" s="47" t="s">
        <v>194</v>
      </c>
      <c r="L44" s="46">
        <v>1</v>
      </c>
      <c r="M44" s="47">
        <f t="shared" si="1"/>
        <v>5</v>
      </c>
      <c r="N44" s="46">
        <v>6</v>
      </c>
      <c r="O44" s="61" t="s">
        <v>205</v>
      </c>
      <c r="P44" s="52">
        <v>2.8849999999999998</v>
      </c>
      <c r="Q44" s="52">
        <f t="shared" si="2"/>
        <v>17.309999999999999</v>
      </c>
      <c r="R44" s="48"/>
      <c r="S44" s="52"/>
    </row>
    <row r="45" spans="1:19" ht="26.25" thickBot="1" x14ac:dyDescent="0.3">
      <c r="A45" s="1"/>
      <c r="B45" s="38">
        <f t="shared" si="0"/>
        <v>36</v>
      </c>
      <c r="C45" s="59" t="s">
        <v>190</v>
      </c>
      <c r="D45" s="49" t="s">
        <v>40</v>
      </c>
      <c r="E45" s="50" t="s">
        <v>78</v>
      </c>
      <c r="F45" s="49" t="s">
        <v>192</v>
      </c>
      <c r="G45" s="49" t="s">
        <v>105</v>
      </c>
      <c r="H45" s="49"/>
      <c r="I45" s="49" t="s">
        <v>194</v>
      </c>
      <c r="J45" s="49"/>
      <c r="K45" s="50"/>
      <c r="L45" s="49">
        <v>1</v>
      </c>
      <c r="M45" s="50">
        <f t="shared" si="1"/>
        <v>5</v>
      </c>
      <c r="N45" s="49"/>
      <c r="O45" s="49"/>
      <c r="P45" s="53"/>
      <c r="Q45" s="53">
        <f t="shared" si="2"/>
        <v>0</v>
      </c>
      <c r="R45" s="74" t="s">
        <v>244</v>
      </c>
      <c r="S45" s="53"/>
    </row>
    <row r="46" spans="1:19" ht="24.75" thickBot="1" x14ac:dyDescent="0.3">
      <c r="A46" s="1"/>
      <c r="B46" s="38">
        <f>ROW(B46) - ROW($B$9)</f>
        <v>37</v>
      </c>
      <c r="C46" s="58" t="s">
        <v>190</v>
      </c>
      <c r="D46" s="46" t="s">
        <v>41</v>
      </c>
      <c r="E46" s="47" t="s">
        <v>79</v>
      </c>
      <c r="F46" s="46" t="s">
        <v>106</v>
      </c>
      <c r="G46" s="47" t="s">
        <v>136</v>
      </c>
      <c r="H46" s="46" t="s">
        <v>158</v>
      </c>
      <c r="I46" s="46" t="s">
        <v>194</v>
      </c>
      <c r="J46" s="46" t="s">
        <v>230</v>
      </c>
      <c r="K46" s="47" t="s">
        <v>194</v>
      </c>
      <c r="L46" s="46">
        <v>1</v>
      </c>
      <c r="M46" s="47">
        <f t="shared" si="1"/>
        <v>5</v>
      </c>
      <c r="N46" s="46">
        <v>10</v>
      </c>
      <c r="O46" s="61" t="s">
        <v>205</v>
      </c>
      <c r="P46" s="52">
        <v>0.11550000000000001</v>
      </c>
      <c r="Q46" s="52">
        <f t="shared" si="2"/>
        <v>1.155</v>
      </c>
      <c r="R46" s="48"/>
      <c r="S46" s="52"/>
    </row>
    <row r="47" spans="1:19" ht="36.75" thickBot="1" x14ac:dyDescent="0.3">
      <c r="A47" s="1"/>
      <c r="B47" s="38">
        <f t="shared" si="0"/>
        <v>38</v>
      </c>
      <c r="C47" s="59" t="s">
        <v>191</v>
      </c>
      <c r="D47" s="49" t="s">
        <v>42</v>
      </c>
      <c r="E47" s="50" t="s">
        <v>80</v>
      </c>
      <c r="F47" s="49" t="s">
        <v>107</v>
      </c>
      <c r="G47" s="50" t="s">
        <v>137</v>
      </c>
      <c r="H47" s="49" t="s">
        <v>159</v>
      </c>
      <c r="I47" s="49" t="s">
        <v>194</v>
      </c>
      <c r="J47" s="49" t="s">
        <v>231</v>
      </c>
      <c r="K47" s="50" t="s">
        <v>178</v>
      </c>
      <c r="L47" s="60">
        <v>1</v>
      </c>
      <c r="M47" s="50">
        <f t="shared" si="1"/>
        <v>5</v>
      </c>
      <c r="N47" s="49">
        <v>10</v>
      </c>
      <c r="O47" s="62" t="s">
        <v>205</v>
      </c>
      <c r="P47" s="53">
        <v>7.0000000000000007E-2</v>
      </c>
      <c r="Q47" s="53">
        <f t="shared" si="2"/>
        <v>0.70000000000000007</v>
      </c>
      <c r="R47" s="51"/>
      <c r="S47" s="53"/>
    </row>
    <row r="48" spans="1:19" ht="19.5" thickBot="1" x14ac:dyDescent="0.3">
      <c r="A48" s="1"/>
      <c r="B48" s="33"/>
      <c r="C48" s="44"/>
      <c r="D48" s="34"/>
      <c r="E48" s="35"/>
      <c r="F48" s="36"/>
      <c r="G48" s="37"/>
      <c r="H48" s="36"/>
      <c r="I48" s="37"/>
      <c r="J48" s="36"/>
      <c r="K48" s="37"/>
      <c r="L48" s="37"/>
      <c r="M48" s="37"/>
      <c r="N48" s="85" t="s">
        <v>242</v>
      </c>
      <c r="O48" s="86"/>
      <c r="P48" s="86"/>
      <c r="Q48" s="71">
        <f>SUM(Q10:Q47)</f>
        <v>53.468800000000002</v>
      </c>
      <c r="R48" s="81"/>
      <c r="S48" s="82"/>
    </row>
    <row r="49" spans="1:19" ht="19.5" thickBot="1" x14ac:dyDescent="0.3">
      <c r="A49" s="1"/>
      <c r="B49" s="25"/>
      <c r="C49" s="45"/>
      <c r="D49" s="9"/>
      <c r="E49" s="10"/>
      <c r="F49" s="10"/>
      <c r="G49" s="10"/>
      <c r="H49" s="10"/>
      <c r="I49" s="10"/>
      <c r="J49" s="10"/>
      <c r="K49" s="10"/>
      <c r="L49" s="10"/>
      <c r="M49" s="10"/>
      <c r="N49" s="85" t="s">
        <v>243</v>
      </c>
      <c r="O49" s="86"/>
      <c r="P49" s="86"/>
      <c r="Q49" s="72">
        <f>Q48/5</f>
        <v>10.693760000000001</v>
      </c>
      <c r="R49" s="83"/>
      <c r="S49" s="84"/>
    </row>
  </sheetData>
  <mergeCells count="5">
    <mergeCell ref="K1:S1"/>
    <mergeCell ref="S3:S8"/>
    <mergeCell ref="R48:S49"/>
    <mergeCell ref="N48:P48"/>
    <mergeCell ref="N49:P49"/>
  </mergeCells>
  <hyperlinks>
    <hyperlink ref="O10" r:id="rId1" xr:uid="{93FCBB62-42A6-4051-B5B2-E27EA6F0AB52}"/>
    <hyperlink ref="O11" r:id="rId2" xr:uid="{802626EB-2ACA-42F0-A805-8021786BE370}"/>
    <hyperlink ref="O12" r:id="rId3" xr:uid="{3EBC255E-892B-4E2B-ADDD-04CC4C060FDE}"/>
    <hyperlink ref="O13" r:id="rId4" xr:uid="{939BC940-6CB2-408B-B1C5-957671D60377}"/>
    <hyperlink ref="O14" r:id="rId5" xr:uid="{E41548EC-C50C-4397-88B6-5A455A5E14A9}"/>
    <hyperlink ref="O15" r:id="rId6" xr:uid="{7517164D-2E08-4913-857F-890196B307A3}"/>
    <hyperlink ref="O19" r:id="rId7" xr:uid="{3AC711A8-A387-4457-A729-88A9EB3EEE78}"/>
    <hyperlink ref="O20" r:id="rId8" xr:uid="{147024DF-BC73-4730-AA60-5BAF0D015688}"/>
    <hyperlink ref="O21" r:id="rId9" xr:uid="{FD6ECDA1-1122-4112-9730-82AE3225B61F}"/>
    <hyperlink ref="O22" r:id="rId10" xr:uid="{267851DA-1A75-4CF3-AA5A-18368F7FE09C}"/>
    <hyperlink ref="O23" r:id="rId11" xr:uid="{A7C5BF19-D9C1-4CB8-ADA1-C5B937E9473A}"/>
    <hyperlink ref="O28" r:id="rId12" xr:uid="{527E0A18-CF11-43A5-9F7B-5B84A7D2566A}"/>
    <hyperlink ref="O29" r:id="rId13" xr:uid="{B7F50116-4E91-4C71-BB00-7614AFE179FE}"/>
    <hyperlink ref="O30" r:id="rId14" xr:uid="{11C22772-8AB6-4BD5-92F9-E9153E49E081}"/>
    <hyperlink ref="O31" r:id="rId15" xr:uid="{7DFFB9D2-6EDD-436E-AB6C-A9307861FF73}"/>
    <hyperlink ref="O32" r:id="rId16" xr:uid="{3176CD9D-5156-4007-B16F-F788973063E6}"/>
    <hyperlink ref="O33" r:id="rId17" xr:uid="{7575416B-6563-4BF6-928B-AA3AC7370748}"/>
    <hyperlink ref="O34" r:id="rId18" xr:uid="{9885186B-7D7A-472B-8B42-A3BD37B3E37E}"/>
    <hyperlink ref="O35" r:id="rId19" xr:uid="{6DC81D02-E3C3-4D9B-BBDF-A2069D0F2C3C}"/>
    <hyperlink ref="O36" r:id="rId20" xr:uid="{CF11E146-5D4B-4106-BD09-FB9ABD2C55FF}"/>
    <hyperlink ref="O38" r:id="rId21" xr:uid="{FF039809-1F71-4955-80A3-1A16FB8C0395}"/>
    <hyperlink ref="O39" r:id="rId22" xr:uid="{17B31971-CDC0-41D2-9B92-BE0F133B7AD1}"/>
    <hyperlink ref="O40" r:id="rId23" xr:uid="{849D2452-4F85-4462-A648-5C223F0EF32D}"/>
    <hyperlink ref="O41" r:id="rId24" xr:uid="{DD1CEA4A-37A2-4A26-AE73-6B3D917D5272}"/>
    <hyperlink ref="O43" r:id="rId25" xr:uid="{EB299C28-D810-4413-A3CC-D2521FD032E5}"/>
    <hyperlink ref="O46" r:id="rId26" xr:uid="{2A4EE5FE-7658-4070-A235-DCD8CC7A22EC}"/>
    <hyperlink ref="O47" r:id="rId27" xr:uid="{3712FCF5-CA71-4144-A769-5B64AB4C5B64}"/>
    <hyperlink ref="O16" r:id="rId28" xr:uid="{B3607444-DF02-42A4-8B2F-F333BB98177F}"/>
    <hyperlink ref="O18" r:id="rId29" xr:uid="{8A4B66CA-0D62-4C22-A5E4-CB071D3C4809}"/>
    <hyperlink ref="O25" r:id="rId30" xr:uid="{452B0F80-16E5-4FFA-9428-924C156E8624}"/>
    <hyperlink ref="O26" r:id="rId31" xr:uid="{B9EB5940-084E-4A38-93CF-FDD074138881}"/>
    <hyperlink ref="O44" r:id="rId32" xr:uid="{DE03E271-00A1-424A-B8B3-AB0F8F990DDE}"/>
  </hyperlinks>
  <pageMargins left="0.7" right="0.7" top="0.75" bottom="0.75" header="0.3" footer="0.3"/>
  <pageSetup paperSize="9" orientation="portrait" r:id="rId33"/>
  <drawing r:id="rId3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HP</cp:lastModifiedBy>
  <dcterms:created xsi:type="dcterms:W3CDTF">2019-12-12T10:34:26Z</dcterms:created>
  <dcterms:modified xsi:type="dcterms:W3CDTF">2022-10-24T11:53:42Z</dcterms:modified>
</cp:coreProperties>
</file>